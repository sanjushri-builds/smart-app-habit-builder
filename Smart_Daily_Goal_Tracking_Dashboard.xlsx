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</sheets>
  <definedNames>
    <definedName function="false" hidden="false" localSheetId="0" name="_xlnm.Print_Area" vbProcedure="false">Dashboard!$A$1:$AL$67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<sst xmlns="http://schemas.openxmlformats.org/spreadsheetml/2006/main" count="103" uniqueCount="40">
  <si>
    <t xml:space="preserve">🎯  SMART DAILY GOAL TRACKING APPLICATION</t>
  </si>
  <si>
    <t xml:space="preserve">Month:</t>
  </si>
  <si>
    <t xml:space="preserve">March</t>
  </si>
  <si>
    <t xml:space="preserve">Year:</t>
  </si>
  <si>
    <t xml:space="preserve">Smart Daily Goal Tracking Dashboard</t>
  </si>
  <si>
    <t xml:space="preserve">✅  Completed Goals</t>
  </si>
  <si>
    <t xml:space="preserve">❌  Not Completed</t>
  </si>
  <si>
    <t xml:space="preserve">📊  % Completed</t>
  </si>
  <si>
    <t xml:space="preserve">📈  Daily Completion Percentage</t>
  </si>
  <si>
    <t xml:space="preserve">Day %</t>
  </si>
  <si>
    <t xml:space="preserve">📋  MONTHLY HABIT &amp; GOAL TRACKER — Check the box each day you complete a goal</t>
  </si>
  <si>
    <t xml:space="preserve">✔ = Completed (GREEN)   ✗ = Incomplete (GRAY)   Click checkboxes to track daily progress</t>
  </si>
  <si>
    <t xml:space="preserve">🎯 GOAL / DAY</t>
  </si>
  <si>
    <t xml:space="preserve">% Done</t>
  </si>
  <si>
    <t xml:space="preserve">  📅  WEEK 1  —  Days 1 – 7</t>
  </si>
  <si>
    <t xml:space="preserve">📚 Read 10 Minutes</t>
  </si>
  <si>
    <t xml:space="preserve">🏋️ Exercise</t>
  </si>
  <si>
    <t xml:space="preserve">✍️ Journal Writing</t>
  </si>
  <si>
    <t xml:space="preserve">💧 Drink 2L Water</t>
  </si>
  <si>
    <t xml:space="preserve">😴 Sleep 7+ Hours</t>
  </si>
  <si>
    <t xml:space="preserve">🧘 Meditate</t>
  </si>
  <si>
    <t xml:space="preserve">💻 Learn Programming</t>
  </si>
  <si>
    <t xml:space="preserve">🚶 Walk 5000 Steps</t>
  </si>
  <si>
    <t xml:space="preserve">  📅  WEEK 2  —  Days 8 – 14</t>
  </si>
  <si>
    <t xml:space="preserve">  📅  WEEK 3  —  Days 15 – 21</t>
  </si>
  <si>
    <t xml:space="preserve">  📅  WEEK 4  —  Days 22 – 28</t>
  </si>
  <si>
    <t xml:space="preserve">  📅  WEEK 5  —  Days 29 – 31</t>
  </si>
  <si>
    <t xml:space="preserve">😊  DAILY MOOD TRACKER — Select your mood for each day</t>
  </si>
  <si>
    <t xml:space="preserve">🎭 Daily Mood</t>
  </si>
  <si>
    <t xml:space="preserve">😊 Good</t>
  </si>
  <si>
    <t xml:space="preserve">Select ↑</t>
  </si>
  <si>
    <t xml:space="preserve">😀 Excellent</t>
  </si>
  <si>
    <t xml:space="preserve">😐 Neutral</t>
  </si>
  <si>
    <t xml:space="preserve">😔 Bad</t>
  </si>
  <si>
    <t xml:space="preserve">😫 Very Bad</t>
  </si>
  <si>
    <t xml:space="preserve">📊  AUTOMATIC MONTHLY SUMMARY</t>
  </si>
  <si>
    <t xml:space="preserve">✅  Total Goals Completed</t>
  </si>
  <si>
    <t xml:space="preserve">🏆  Best Performing Week</t>
  </si>
  <si>
    <t xml:space="preserve">📈  Avg Completion Rate</t>
  </si>
  <si>
    <t xml:space="preserve">Smart Daily Goal Tracking Application  |  Built for Student Productivity  |  Auto-Calculates on Checkbox Click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</si>
</sst>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i val="true"/>
      <sz val="11"/>
      <color rgb="FF2980B9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0"/>
      <color rgb="FF7C5CBF"/>
      <name val="Arial"/>
      <family val="0"/>
      <charset val="1"/>
    </font>
    <font>
      <b val="true"/>
      <sz val="22"/>
      <color rgb="FF27AE60"/>
      <name val="Arial"/>
      <family val="0"/>
      <charset val="1"/>
    </font>
    <font>
      <b val="true"/>
      <sz val="22"/>
      <color rgb="FFE74C3C"/>
      <name val="Arial"/>
      <family val="0"/>
      <charset val="1"/>
    </font>
    <font>
      <b val="true"/>
      <sz val="22"/>
      <color rgb="FF7C5CBF"/>
      <name val="Arial"/>
      <family val="0"/>
      <charset val="1"/>
    </font>
    <font>
      <b val="true"/>
      <sz val="12"/>
      <color rgb="FF2980B9"/>
      <name val="Arial"/>
      <family val="0"/>
      <charset val="1"/>
    </font>
    <font>
      <sz val="8"/>
      <color rgb="FFBDC3C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2980B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9"/>
      <color rgb="FF2ECC9A"/>
      <name val="Arial"/>
      <family val="0"/>
      <charset val="1"/>
    </font>
    <font>
      <b val="true"/>
      <sz val="9"/>
      <color rgb="FF7C5CBF"/>
      <name val="Arial"/>
      <family val="0"/>
      <charset val="1"/>
    </font>
    <font>
      <b val="true"/>
      <sz val="9"/>
      <color rgb="FFF5A623"/>
      <name val="Arial"/>
      <family val="0"/>
      <charset val="1"/>
    </font>
    <font>
      <b val="true"/>
      <sz val="9"/>
      <color rgb="FF2980B9"/>
      <name val="Arial"/>
      <family val="0"/>
      <charset val="1"/>
    </font>
    <font>
      <b val="true"/>
      <sz val="9"/>
      <color rgb="FFE74C3C"/>
      <name val="Arial"/>
      <family val="0"/>
      <charset val="1"/>
    </font>
    <font>
      <sz val="8"/>
      <color rgb="FF7C5CBF"/>
      <name val="Arial"/>
      <family val="0"/>
      <charset val="1"/>
    </font>
    <font>
      <i val="true"/>
      <sz val="8"/>
      <color rgb="FF7C5CB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b val="true"/>
      <sz val="26"/>
      <color rgb="FF27AE60"/>
      <name val="Arial"/>
      <family val="0"/>
      <charset val="1"/>
    </font>
    <font>
      <b val="true"/>
      <sz val="18"/>
      <color rgb="FFF5A623"/>
      <name val="Arial"/>
      <family val="0"/>
      <charset val="1"/>
    </font>
    <font>
      <b val="true"/>
      <sz val="26"/>
      <color rgb="FF7C5CBF"/>
      <name val="Arial"/>
      <family val="0"/>
      <charset val="1"/>
    </font>
    <font>
      <i val="true"/>
      <sz val="9"/>
      <color rgb="FFA9C4E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1E3A5F"/>
        <bgColor rgb="FF2C3E50"/>
      </patternFill>
    </fill>
    <fill>
      <patternFill patternType="solid">
        <fgColor rgb="FFF2F4F7"/>
        <bgColor rgb="FFEBF5FB"/>
      </patternFill>
    </fill>
    <fill>
      <patternFill patternType="solid">
        <fgColor rgb="FFFFFFFF"/>
        <bgColor rgb="FFFEF9E7"/>
      </patternFill>
    </fill>
    <fill>
      <patternFill patternType="solid">
        <fgColor rgb="FFEBF5FB"/>
        <bgColor rgb="FFF2F4F7"/>
      </patternFill>
    </fill>
    <fill>
      <patternFill patternType="solid">
        <fgColor rgb="FFD5F5E3"/>
        <bgColor rgb="FFC8F5E8"/>
      </patternFill>
    </fill>
    <fill>
      <patternFill patternType="solid">
        <fgColor rgb="FFFFE0E0"/>
        <bgColor rgb="FFEDE7FF"/>
      </patternFill>
    </fill>
    <fill>
      <patternFill patternType="solid">
        <fgColor rgb="FFEDE7FF"/>
        <bgColor rgb="FFF2F4F7"/>
      </patternFill>
    </fill>
    <fill>
      <patternFill patternType="solid">
        <fgColor rgb="FF2C3E50"/>
        <bgColor rgb="FF1E3A5F"/>
      </patternFill>
    </fill>
    <fill>
      <patternFill patternType="solid">
        <fgColor rgb="FF2ECC9A"/>
        <bgColor rgb="FF27AE60"/>
      </patternFill>
    </fill>
    <fill>
      <patternFill patternType="solid">
        <fgColor rgb="FFBDC3C7"/>
        <bgColor rgb="FFBCC7DD"/>
      </patternFill>
    </fill>
    <fill>
      <patternFill patternType="solid">
        <fgColor rgb="FFC8F5E8"/>
        <bgColor rgb="FFD5F5E3"/>
      </patternFill>
    </fill>
    <fill>
      <patternFill patternType="solid">
        <fgColor rgb="FF7C5CBF"/>
        <bgColor rgb="FF775B97"/>
      </patternFill>
    </fill>
    <fill>
      <patternFill patternType="solid">
        <fgColor rgb="FFF5A623"/>
        <bgColor rgb="FFE98B3C"/>
      </patternFill>
    </fill>
    <fill>
      <patternFill patternType="solid">
        <fgColor rgb="FFFFF3D0"/>
        <bgColor rgb="FFFEF9E7"/>
      </patternFill>
    </fill>
    <fill>
      <patternFill patternType="solid">
        <fgColor rgb="FF2980B9"/>
        <bgColor rgb="FF337D90"/>
      </patternFill>
    </fill>
    <fill>
      <patternFill patternType="solid">
        <fgColor rgb="FFE74C3C"/>
        <bgColor rgb="FFB54744"/>
      </patternFill>
    </fill>
    <fill>
      <patternFill patternType="solid">
        <fgColor rgb="FFFEF9E7"/>
        <bgColor rgb="FFFFF3D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2980B9"/>
      </left>
      <right style="medium">
        <color rgb="FF2980B9"/>
      </right>
      <top style="medium">
        <color rgb="FF2980B9"/>
      </top>
      <bottom style="medium">
        <color rgb="FF2980B9"/>
      </bottom>
      <diagonal/>
    </border>
    <border diagonalUp="false" diagonalDown="false">
      <left style="thin">
        <color rgb="FF3D5A7A"/>
      </left>
      <right style="thin">
        <color rgb="FF3D5A7A"/>
      </right>
      <top style="thin">
        <color rgb="FF3D5A7A"/>
      </top>
      <bottom style="thin">
        <color rgb="FF3D5A7A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medium">
        <color rgb="FF7C5CBF"/>
      </left>
      <right style="medium">
        <color rgb="FF7C5CBF"/>
      </right>
      <top style="medium">
        <color rgb="FF7C5CBF"/>
      </top>
      <bottom style="medium">
        <color rgb="FF7C5CBF"/>
      </bottom>
      <diagonal/>
    </border>
    <border diagonalUp="false" diagonalDown="false">
      <left style="thin">
        <color rgb="FF7C5CBF"/>
      </left>
      <right style="thin">
        <color rgb="FF7C5CBF"/>
      </right>
      <top style="thin">
        <color rgb="FF7C5CBF"/>
      </top>
      <bottom style="thin">
        <color rgb="FF7C5C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27AE60"/>
      </font>
      <fill>
        <patternFill>
          <bgColor rgb="FFD5F5E3"/>
        </patternFill>
      </fill>
    </dxf>
    <dxf>
      <font>
        <color rgb="FFBDC3C7"/>
      </font>
      <fill>
        <patternFill>
          <bgColor rgb="FFF2F4F7"/>
        </patternFill>
      </fill>
    </dxf>
  </dxfs>
  <colors>
    <indexedColors>
      <rgbColor rgb="FF000000"/>
      <rgbColor rgb="FFFFFFFF"/>
      <rgbColor rgb="FFD27D35"/>
      <rgbColor rgb="FF829E48"/>
      <rgbColor rgb="FFF2F4F7"/>
      <rgbColor rgb="FFBBCE9E"/>
      <rgbColor rgb="FFD9D9D9"/>
      <rgbColor rgb="FF6CB2C9"/>
      <rgbColor rgb="FFB46B2E"/>
      <rgbColor rgb="FF3B90A8"/>
      <rgbColor rgb="FF000080"/>
      <rgbColor rgb="FF70883D"/>
      <rgbColor rgb="FF7C5CBF"/>
      <rgbColor rgb="FF337D90"/>
      <rgbColor rgb="FFBDC3C7"/>
      <rgbColor rgb="FF878787"/>
      <rgbColor rgb="FF9CAFCF"/>
      <rgbColor rgb="FFA2403D"/>
      <rgbColor rgb="FFFFF3D0"/>
      <rgbColor rgb="FFC8F5E8"/>
      <rgbColor rgb="FF6A5287"/>
      <rgbColor rgb="FFF49F68"/>
      <rgbColor rgb="FF3F6B9F"/>
      <rgbColor rgb="FFBCC7DD"/>
      <rgbColor rgb="FF000080"/>
      <rgbColor rgb="FFEDE7FF"/>
      <rgbColor rgb="FFFFE0E0"/>
      <rgbColor rgb="FF6E90C1"/>
      <rgbColor rgb="FFC46E6D"/>
      <rgbColor rgb="FF8F7BAB"/>
      <rgbColor rgb="FF2980B9"/>
      <rgbColor rgb="FF0000FF"/>
      <rgbColor rgb="FF42A2BB"/>
      <rgbColor rgb="FFEBF5FB"/>
      <rgbColor rgb="FFD5F5E3"/>
      <rgbColor rgb="FFFEF9E7"/>
      <rgbColor rgb="FFA9C4E2"/>
      <rgbColor rgb="FFD19C9B"/>
      <rgbColor rgb="FF9AC5D5"/>
      <rgbColor rgb="FFF5B798"/>
      <rgbColor rgb="FF4678B3"/>
      <rgbColor rgb="FF2ECC9A"/>
      <rgbColor rgb="FF91B051"/>
      <rgbColor rgb="FFE98B3C"/>
      <rgbColor rgb="FFF5A623"/>
      <rgbColor rgb="FFE74C3C"/>
      <rgbColor rgb="FF775B97"/>
      <rgbColor rgb="FFAFA2C0"/>
      <rgbColor rgb="FF1E3A5F"/>
      <rgbColor rgb="FF27AE60"/>
      <rgbColor rgb="FFA5C073"/>
      <rgbColor rgb="FF3D5A7A"/>
      <rgbColor rgb="FFB54744"/>
      <rgbColor rgb="FF8C3734"/>
      <rgbColor rgb="FF5B4675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Completion Percentage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"Daily % Completed"</c:f>
              <c:strCache>
                <c:ptCount val="1"/>
                <c:pt idx="0">
                  <c:v>Daily % Completed</c:v>
                </c:pt>
              </c:strCache>
            </c:strRef>
          </c:tx>
          <c:spPr>
            <a:solidFill>
              <a:srgbClr val="2ecc9a"/>
            </a:solidFill>
            <a:ln w="24840">
              <a:solidFill>
                <a:srgbClr val="2ecc9a"/>
              </a:solidFill>
              <a:round/>
            </a:ln>
          </c:spPr>
          <c:marker>
            <c:symbol val="circle"/>
            <c:size val="6"/>
            <c:spPr>
              <a:solidFill>
                <a:srgbClr val="2ecc9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Dashboard!$C$7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c3734"/>
            </a:solidFill>
            <a:ln w="47520">
              <a:solidFill>
                <a:srgbClr val="8c37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Dashboard!$D$7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70883d"/>
            </a:solidFill>
            <a:ln w="47520">
              <a:solidFill>
                <a:srgbClr val="7088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Dashboard!$E$7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5b4675"/>
            </a:solidFill>
            <a:ln w="47520">
              <a:solidFill>
                <a:srgbClr val="5b467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Dashboard!$F$7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37d90"/>
            </a:solidFill>
            <a:ln w="47520">
              <a:solidFill>
                <a:srgbClr val="337d9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Dashboard!$G$7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b46b2e"/>
            </a:solidFill>
            <a:ln w="47520">
              <a:solidFill>
                <a:srgbClr val="b46b2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Dashboard!$H$7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3f6b9f"/>
            </a:solidFill>
            <a:ln w="47520">
              <a:solidFill>
                <a:srgbClr val="3f6b9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Dashboard!$I$7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a2403d"/>
            </a:solidFill>
            <a:ln w="47520">
              <a:solidFill>
                <a:srgbClr val="a2403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Dashboard!$J$7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829e48"/>
            </a:solidFill>
            <a:ln w="47520">
              <a:solidFill>
                <a:srgbClr val="829e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Dashboard!$K$7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6a5287"/>
            </a:solidFill>
            <a:ln w="47520">
              <a:solidFill>
                <a:srgbClr val="6a528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Dashboard!$L$7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3b90a8"/>
            </a:solidFill>
            <a:ln w="47520">
              <a:solidFill>
                <a:srgbClr val="3b90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Dashboard!$M$7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d27d35"/>
            </a:solidFill>
            <a:ln w="47520">
              <a:solidFill>
                <a:srgbClr val="d27d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Dashboard!$N$7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4678b3"/>
            </a:solidFill>
            <a:ln w="47520">
              <a:solidFill>
                <a:srgbClr val="4678b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Dashboard!$O$7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b54744"/>
            </a:solidFill>
            <a:ln w="47520">
              <a:solidFill>
                <a:srgbClr val="b547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Dashboard!$P$7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91b051"/>
            </a:solidFill>
            <a:ln w="47520">
              <a:solidFill>
                <a:srgbClr val="91b05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Dashboard!$Q$7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775b97"/>
            </a:solidFill>
            <a:ln w="47520">
              <a:solidFill>
                <a:srgbClr val="775b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Dashboard!$R$7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6"/>
          <c:order val="16"/>
          <c:spPr>
            <a:solidFill>
              <a:srgbClr val="42a2bb"/>
            </a:solidFill>
            <a:ln w="47520">
              <a:solidFill>
                <a:srgbClr val="42a2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Dashboard!$S$7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7"/>
          <c:order val="17"/>
          <c:spPr>
            <a:solidFill>
              <a:srgbClr val="e98b3c"/>
            </a:solidFill>
            <a:ln w="47520">
              <a:solidFill>
                <a:srgbClr val="e98b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Dashboard!$T$7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8"/>
          <c:order val="18"/>
          <c:spPr>
            <a:solidFill>
              <a:srgbClr val="6e90c1"/>
            </a:solidFill>
            <a:ln w="47520">
              <a:solidFill>
                <a:srgbClr val="6e90c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Dashboard!$U$7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19"/>
          <c:order val="19"/>
          <c:spPr>
            <a:solidFill>
              <a:srgbClr val="c46e6d"/>
            </a:solidFill>
            <a:ln w="47520">
              <a:solidFill>
                <a:srgbClr val="c46e6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Dashboard!$V$7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0"/>
          <c:order val="20"/>
          <c:spPr>
            <a:solidFill>
              <a:srgbClr val="a5c073"/>
            </a:solidFill>
            <a:ln w="47520">
              <a:solidFill>
                <a:srgbClr val="a5c0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Dashboard!$W$7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1"/>
          <c:order val="21"/>
          <c:spPr>
            <a:solidFill>
              <a:srgbClr val="8f7bab"/>
            </a:solidFill>
            <a:ln w="47520">
              <a:solidFill>
                <a:srgbClr val="8f7ba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Dashboard!$X$7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2"/>
          <c:order val="22"/>
          <c:spPr>
            <a:solidFill>
              <a:srgbClr val="6cb2c9"/>
            </a:solidFill>
            <a:ln w="47520">
              <a:solidFill>
                <a:srgbClr val="6cb2c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Dashboard!$Y$7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3"/>
          <c:order val="23"/>
          <c:spPr>
            <a:solidFill>
              <a:srgbClr val="f49f68"/>
            </a:solidFill>
            <a:ln w="47520">
              <a:solidFill>
                <a:srgbClr val="f49f6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Dashboard!$Z$7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4"/>
          <c:order val="24"/>
          <c:spPr>
            <a:solidFill>
              <a:srgbClr val="9cafcf"/>
            </a:solidFill>
            <a:ln w="47520">
              <a:solidFill>
                <a:srgbClr val="9cafc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Dashboard!$AA$7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5"/>
          <c:order val="25"/>
          <c:spPr>
            <a:solidFill>
              <a:srgbClr val="d19c9b"/>
            </a:solidFill>
            <a:ln w="47520">
              <a:solidFill>
                <a:srgbClr val="d19c9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Dashboard!$AB$7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6"/>
          <c:order val="26"/>
          <c:spPr>
            <a:solidFill>
              <a:srgbClr val="bbce9e"/>
            </a:solidFill>
            <a:ln w="47520">
              <a:solidFill>
                <a:srgbClr val="bbce9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Dashboard!$AC$7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7"/>
          <c:order val="27"/>
          <c:spPr>
            <a:solidFill>
              <a:srgbClr val="afa2c0"/>
            </a:solidFill>
            <a:ln w="47520">
              <a:solidFill>
                <a:srgbClr val="afa2c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Dashboard!$AD$7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8"/>
          <c:order val="28"/>
          <c:spPr>
            <a:solidFill>
              <a:srgbClr val="9ac5d5"/>
            </a:solidFill>
            <a:ln w="47520">
              <a:solidFill>
                <a:srgbClr val="9ac5d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Dashboard!$AE$7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29"/>
          <c:order val="29"/>
          <c:spPr>
            <a:solidFill>
              <a:srgbClr val="f5b798"/>
            </a:solidFill>
            <a:ln w="47520">
              <a:solidFill>
                <a:srgbClr val="f5b79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Dashboard!$AF$7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ser>
          <c:idx val="30"/>
          <c:order val="30"/>
          <c:spPr>
            <a:solidFill>
              <a:srgbClr val="bcc7dd"/>
            </a:solidFill>
            <a:ln w="47520">
              <a:solidFill>
                <a:srgbClr val="bcc7d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Dashboard!$C$12:$AG$12</c:f>
              <c:multiLvlStrCache>
                <c:ptCount val="1"/>
                <c:lvl>
                  <c:pt idx="0">
                    <c:v>31</c:v>
                  </c:pt>
                </c:lvl>
                <c:lvl>
                  <c:pt idx="0">
                    <c:v>30</c:v>
                  </c:pt>
                </c:lvl>
                <c:lvl>
                  <c:pt idx="0">
                    <c:v>29</c:v>
                  </c:pt>
                </c:lvl>
                <c:lvl>
                  <c:pt idx="0">
                    <c:v>28</c:v>
                  </c:pt>
                </c:lvl>
                <c:lvl>
                  <c:pt idx="0">
                    <c:v>27</c:v>
                  </c:pt>
                </c:lvl>
                <c:lvl>
                  <c:pt idx="0">
                    <c:v>26</c:v>
                  </c:pt>
                </c:lvl>
                <c:lvl>
                  <c:pt idx="0">
                    <c:v>25</c:v>
                  </c:pt>
                </c:lvl>
                <c:lvl>
                  <c:pt idx="0">
                    <c:v>24</c:v>
                  </c:pt>
                </c:lvl>
                <c:lvl>
                  <c:pt idx="0">
                    <c:v>23</c:v>
                  </c:pt>
                </c:lvl>
                <c:lvl>
                  <c:pt idx="0">
                    <c:v>22</c:v>
                  </c:pt>
                </c:lvl>
                <c:lvl>
                  <c:pt idx="0">
                    <c:v>21</c:v>
                  </c:pt>
                </c:lvl>
                <c:lvl>
                  <c:pt idx="0">
                    <c:v>20</c:v>
                  </c:pt>
                </c:lvl>
                <c:lvl>
                  <c:pt idx="0">
                    <c:v>19</c:v>
                  </c:pt>
                </c:lvl>
                <c:lvl>
                  <c:pt idx="0">
                    <c:v>18</c:v>
                  </c:pt>
                </c:lvl>
                <c:lvl>
                  <c:pt idx="0">
                    <c:v>17</c:v>
                  </c:pt>
                </c:lvl>
                <c:lvl>
                  <c:pt idx="0">
                    <c:v>16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</c:lvl>
                <c:lvl>
                  <c:pt idx="0">
                    <c:v>13</c:v>
                  </c:pt>
                </c:lvl>
                <c:lvl>
                  <c:pt idx="0">
                    <c:v>12</c:v>
                  </c:pt>
                </c:lvl>
                <c:lvl>
                  <c:pt idx="0">
                    <c:v>11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</c:lvl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Dashboard!$AG$7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23022188"/>
        <c:axId val="54147157"/>
      </c:lineChart>
      <c:catAx>
        <c:axId val="230221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 of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147157"/>
        <c:crosses val="autoZero"/>
        <c:auto val="1"/>
        <c:lblAlgn val="ctr"/>
        <c:lblOffset val="100"/>
        <c:noMultiLvlLbl val="0"/>
      </c:catAx>
      <c:valAx>
        <c:axId val="5414715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Complete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22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0</xdr:rowOff>
    </xdr:from>
    <xdr:to>
      <xdr:col>25</xdr:col>
      <xdr:colOff>101880</xdr:colOff>
      <xdr:row>17</xdr:row>
      <xdr:rowOff>105840</xdr:rowOff>
    </xdr:to>
    <xdr:graphicFrame>
      <xdr:nvGraphicFramePr>
        <xdr:cNvPr id="0" name="Chart 1"/>
        <xdr:cNvGraphicFramePr/>
      </xdr:nvGraphicFramePr>
      <xdr:xfrm>
        <a:off x="211320" y="1762200"/>
        <a:ext cx="100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L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5" min="3" style="0" width="5.2"/>
    <col collapsed="false" customWidth="true" hidden="false" outlineLevel="0" max="37" min="37" style="0" width="9"/>
    <col collapsed="false" customWidth="true" hidden="false" outlineLevel="0" max="38" min="38" style="0" width="3"/>
  </cols>
  <sheetData>
    <row r="1" customFormat="false" ht="9.75" hidden="false" customHeight="true" outlineLevel="0" collapsed="false"/>
    <row r="2" customFormat="false" ht="4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customFormat="false" ht="21.75" hidden="false" customHeight="true" outlineLevel="0" collapsed="false">
      <c r="B3" s="2" t="s">
        <v>1</v>
      </c>
      <c r="C3" s="2"/>
      <c r="D3" s="2"/>
      <c r="E3" s="3" t="s">
        <v>2</v>
      </c>
      <c r="F3" s="2" t="s">
        <v>3</v>
      </c>
      <c r="G3" s="2"/>
      <c r="H3" s="3" t="n">
        <v>2025</v>
      </c>
      <c r="I3" s="4" t="s">
        <v>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customFormat="false" ht="21.75" hidden="false" customHeight="true" outlineLevel="0" collapsed="false">
      <c r="B4" s="5" t="str">
        <f aca="false">E3&amp;"  "&amp;H3</f>
        <v>March  2025</v>
      </c>
      <c r="C4" s="5"/>
      <c r="D4" s="5"/>
      <c r="E4" s="5"/>
      <c r="F4" s="5"/>
      <c r="G4" s="5"/>
      <c r="H4" s="5"/>
      <c r="I4" s="5"/>
      <c r="J4" s="5"/>
      <c r="K4" s="6" t="s">
        <v>5</v>
      </c>
      <c r="L4" s="6"/>
      <c r="M4" s="6"/>
      <c r="N4" s="6"/>
      <c r="O4" s="6"/>
      <c r="P4" s="7" t="s">
        <v>6</v>
      </c>
      <c r="Q4" s="7"/>
      <c r="R4" s="7"/>
      <c r="S4" s="7"/>
      <c r="T4" s="7"/>
      <c r="U4" s="8" t="s">
        <v>7</v>
      </c>
      <c r="V4" s="8"/>
      <c r="W4" s="8"/>
      <c r="X4" s="8"/>
      <c r="Y4" s="8"/>
      <c r="Z4" s="8"/>
    </row>
    <row r="5" customFormat="false" ht="37.5" hidden="false" customHeight="true" outlineLevel="0" collapsed="false">
      <c r="K5" s="9" t="n">
        <f aca="false">COUNTIF(C14:AG14,TRUE())+COUNTIF(C15:AG15,TRUE())+COUNTIF(C16:AG16,TRUE())+COUNTIF(C17:AG17,TRUE())+COUNTIF(C18:AG18,TRUE())+COUNTIF(C19:AG19,TRUE())+COUNTIF(C20:AG20,TRUE())+COUNTIF(C21:AG21,TRUE())+COUNTIF(C23:AG23,TRUE())+COUNTIF(C24:AG24,TRUE())+COUNTIF(C25:AG25,TRUE())+COUNTIF(C26:AG26,TRUE())+COUNTIF(C27:AG27,TRUE())+COUNTIF(C28:AG28,TRUE())+COUNTIF(C29:AG29,TRUE())+COUNTIF(C30:AG30,TRUE())+COUNTIF(C32:AG32,TRUE())+COUNTIF(C33:AG33,TRUE())+COUNTIF(C34:AG34,TRUE())+COUNTIF(C35:AG35,TRUE())+COUNTIF(C36:AG36,TRUE())+COUNTIF(C37:AG37,TRUE())+COUNTIF(C38:AG38,TRUE())+COUNTIF(C39:AG39,TRUE())+COUNTIF(C41:AG41,TRUE())+COUNTIF(C42:AG42,TRUE())+COUNTIF(C43:AG43,TRUE())+COUNTIF(C44:AG44,TRUE())+COUNTIF(C45:AG45,TRUE())+COUNTIF(C46:AG46,TRUE())+COUNTIF(C47:AG47,TRUE())+COUNTIF(C48:AG48,TRUE())+COUNTIF(C50:AG50,TRUE())+COUNTIF(C51:AG51,TRUE())+COUNTIF(C52:AG52,TRUE())+COUNTIF(C53:AG53,TRUE())+COUNTIF(C54:AG54,TRUE())+COUNTIF(C55:AG55,TRUE())+COUNTIF(C56:AG56,TRUE())+COUNTIF(C57:AG57,TRUE())</f>
        <v>0</v>
      </c>
      <c r="L5" s="9"/>
      <c r="M5" s="9"/>
      <c r="N5" s="9"/>
      <c r="O5" s="9"/>
      <c r="P5" s="10" t="n">
        <f aca="false">COUNTIF(C14:AG14,FALSE())+COUNTIF(C15:AG15,FALSE())+COUNTIF(C16:AG16,FALSE())+COUNTIF(C17:AG17,FALSE())+COUNTIF(C18:AG18,FALSE())+COUNTIF(C19:AG19,FALSE())+COUNTIF(C20:AG20,FALSE())+COUNTIF(C21:AG21,FALSE())+COUNTIF(C23:AG23,FALSE())+COUNTIF(C24:AG24,FALSE())+COUNTIF(C25:AG25,FALSE())+COUNTIF(C26:AG26,FALSE())+COUNTIF(C27:AG27,FALSE())+COUNTIF(C28:AG28,FALSE())+COUNTIF(C29:AG29,FALSE())+COUNTIF(C30:AG30,FALSE())+COUNTIF(C32:AG32,FALSE())+COUNTIF(C33:AG33,FALSE())+COUNTIF(C34:AG34,FALSE())+COUNTIF(C35:AG35,FALSE())+COUNTIF(C36:AG36,FALSE())+COUNTIF(C37:AG37,FALSE())+COUNTIF(C38:AG38,FALSE())+COUNTIF(C39:AG39,FALSE())+COUNTIF(C41:AG41,FALSE())+COUNTIF(C42:AG42,FALSE())+COUNTIF(C43:AG43,FALSE())+COUNTIF(C44:AG44,FALSE())+COUNTIF(C45:AG45,FALSE())+COUNTIF(C46:AG46,FALSE())+COUNTIF(C47:AG47,FALSE())+COUNTIF(C48:AG48,FALSE())+COUNTIF(C50:AG50,FALSE())+COUNTIF(C51:AG51,FALSE())+COUNTIF(C52:AG52,FALSE())+COUNTIF(C53:AG53,FALSE())+COUNTIF(C54:AG54,FALSE())+COUNTIF(C55:AG55,FALSE())+COUNTIF(C56:AG56,FALSE())+COUNTIF(C57:AG57,FALSE())</f>
        <v>248</v>
      </c>
      <c r="Q5" s="10"/>
      <c r="R5" s="10"/>
      <c r="S5" s="10"/>
      <c r="T5" s="10"/>
      <c r="U5" s="11" t="str">
        <f aca="false">IF((K5+P5)=0,"—",TEXT(K5/(K5+P5),"0.0%"))</f>
        <v>0.0%</v>
      </c>
      <c r="V5" s="11"/>
      <c r="W5" s="11"/>
      <c r="X5" s="11"/>
      <c r="Y5" s="11"/>
      <c r="Z5" s="11"/>
    </row>
    <row r="6" customFormat="false" ht="60" hidden="false" customHeight="true" outlineLevel="0" collapsed="false">
      <c r="B6" s="12" t="s">
        <v>8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</row>
    <row r="7" customFormat="false" ht="15" hidden="false" customHeight="true" outlineLevel="0" collapsed="false">
      <c r="B7" s="13" t="s">
        <v>9</v>
      </c>
      <c r="C7" s="14" t="n">
        <f aca="false">IFERROR(COUNTIF(C14,C15,C16,C17,C18,C19,C20,C21,C23,C24,C25,C26,C27,C28,C29,C30,C32,C33,C34,C35,C36,C37,C38,C39,C41,C42,C43,C44,C45,C46,C47,C48,C50,C51,C52,C53,C54,C55,C56,C57,TRUE())/8,0)</f>
        <v>0</v>
      </c>
      <c r="D7" s="14" t="n">
        <f aca="false">IFERROR(COUNTIF(D14,D15,D16,D17,D18,D19,D20,D21,D23,D24,D25,D26,D27,D28,D29,D30,D32,D33,D34,D35,D36,D37,D38,D39,D41,D42,D43,D44,D45,D46,D47,D48,D50,D51,D52,D53,D54,D55,D56,D57,TRUE())/8,0)</f>
        <v>0</v>
      </c>
      <c r="E7" s="14" t="n">
        <f aca="false">IFERROR(COUNTIF(E14,E15,E16,E17,E18,E19,E20,E21,E23,E24,E25,E26,E27,E28,E29,E30,E32,E33,E34,E35,E36,E37,E38,E39,E41,E42,E43,E44,E45,E46,E47,E48,E50,E51,E52,E53,E54,E55,E56,E57,TRUE())/8,0)</f>
        <v>0</v>
      </c>
      <c r="F7" s="14" t="n">
        <f aca="false">IFERROR(COUNTIF(F14,F15,F16,F17,F18,F19,F20,F21,F23,F24,F25,F26,F27,F28,F29,F30,F32,F33,F34,F35,F36,F37,F38,F39,F41,F42,F43,F44,F45,F46,F47,F48,F50,F51,F52,F53,F54,F55,F56,F57,TRUE())/8,0)</f>
        <v>0</v>
      </c>
      <c r="G7" s="14" t="n">
        <f aca="false">IFERROR(COUNTIF(G14,G15,G16,G17,G18,G19,G20,G21,G23,G24,G25,G26,G27,G28,G29,G30,G32,G33,G34,G35,G36,G37,G38,G39,G41,G42,G43,G44,G45,G46,G47,G48,G50,G51,G52,G53,G54,G55,G56,G57,TRUE())/8,0)</f>
        <v>0</v>
      </c>
      <c r="H7" s="14" t="n">
        <f aca="false">IFERROR(COUNTIF(H14,H15,H16,H17,H18,H19,H20,H21,H23,H24,H25,H26,H27,H28,H29,H30,H32,H33,H34,H35,H36,H37,H38,H39,H41,H42,H43,H44,H45,H46,H47,H48,H50,H51,H52,H53,H54,H55,H56,H57,TRUE())/8,0)</f>
        <v>0</v>
      </c>
      <c r="I7" s="14" t="n">
        <f aca="false">IFERROR(COUNTIF(I14,I15,I16,I17,I18,I19,I20,I21,I23,I24,I25,I26,I27,I28,I29,I30,I32,I33,I34,I35,I36,I37,I38,I39,I41,I42,I43,I44,I45,I46,I47,I48,I50,I51,I52,I53,I54,I55,I56,I57,TRUE())/8,0)</f>
        <v>0</v>
      </c>
      <c r="J7" s="14" t="n">
        <f aca="false">IFERROR(COUNTIF(J14,J15,J16,J17,J18,J19,J20,J21,J23,J24,J25,J26,J27,J28,J29,J30,J32,J33,J34,J35,J36,J37,J38,J39,J41,J42,J43,J44,J45,J46,J47,J48,J50,J51,J52,J53,J54,J55,J56,J57,TRUE())/8,0)</f>
        <v>0</v>
      </c>
      <c r="K7" s="14" t="n">
        <f aca="false">IFERROR(COUNTIF(K14,K15,K16,K17,K18,K19,K20,K21,K23,K24,K25,K26,K27,K28,K29,K30,K32,K33,K34,K35,K36,K37,K38,K39,K41,K42,K43,K44,K45,K46,K47,K48,K50,K51,K52,K53,K54,K55,K56,K57,TRUE())/8,0)</f>
        <v>0</v>
      </c>
      <c r="L7" s="14" t="n">
        <f aca="false">IFERROR(COUNTIF(L14,L15,L16,L17,L18,L19,L20,L21,L23,L24,L25,L26,L27,L28,L29,L30,L32,L33,L34,L35,L36,L37,L38,L39,L41,L42,L43,L44,L45,L46,L47,L48,L50,L51,L52,L53,L54,L55,L56,L57,TRUE())/8,0)</f>
        <v>0</v>
      </c>
      <c r="M7" s="14" t="n">
        <f aca="false">IFERROR(COUNTIF(M14,M15,M16,M17,M18,M19,M20,M21,M23,M24,M25,M26,M27,M28,M29,M30,M32,M33,M34,M35,M36,M37,M38,M39,M41,M42,M43,M44,M45,M46,M47,M48,M50,M51,M52,M53,M54,M55,M56,M57,TRUE())/8,0)</f>
        <v>0</v>
      </c>
      <c r="N7" s="14" t="n">
        <f aca="false">IFERROR(COUNTIF(N14,N15,N16,N17,N18,N19,N20,N21,N23,N24,N25,N26,N27,N28,N29,N30,N32,N33,N34,N35,N36,N37,N38,N39,N41,N42,N43,N44,N45,N46,N47,N48,N50,N51,N52,N53,N54,N55,N56,N57,TRUE())/8,0)</f>
        <v>0</v>
      </c>
      <c r="O7" s="14" t="n">
        <f aca="false">IFERROR(COUNTIF(O14,O15,O16,O17,O18,O19,O20,O21,O23,O24,O25,O26,O27,O28,O29,O30,O32,O33,O34,O35,O36,O37,O38,O39,O41,O42,O43,O44,O45,O46,O47,O48,O50,O51,O52,O53,O54,O55,O56,O57,TRUE())/8,0)</f>
        <v>0</v>
      </c>
      <c r="P7" s="14" t="n">
        <f aca="false">IFERROR(COUNTIF(P14,P15,P16,P17,P18,P19,P20,P21,P23,P24,P25,P26,P27,P28,P29,P30,P32,P33,P34,P35,P36,P37,P38,P39,P41,P42,P43,P44,P45,P46,P47,P48,P50,P51,P52,P53,P54,P55,P56,P57,TRUE())/8,0)</f>
        <v>0</v>
      </c>
      <c r="Q7" s="14" t="n">
        <f aca="false">IFERROR(COUNTIF(Q14,Q15,Q16,Q17,Q18,Q19,Q20,Q21,Q23,Q24,Q25,Q26,Q27,Q28,Q29,Q30,Q32,Q33,Q34,Q35,Q36,Q37,Q38,Q39,Q41,Q42,Q43,Q44,Q45,Q46,Q47,Q48,Q50,Q51,Q52,Q53,Q54,Q55,Q56,Q57,TRUE())/8,0)</f>
        <v>0</v>
      </c>
      <c r="R7" s="14" t="n">
        <f aca="false">IFERROR(COUNTIF(R14,R15,R16,R17,R18,R19,R20,R21,R23,R24,R25,R26,R27,R28,R29,R30,R32,R33,R34,R35,R36,R37,R38,R39,R41,R42,R43,R44,R45,R46,R47,R48,R50,R51,R52,R53,R54,R55,R56,R57,TRUE())/8,0)</f>
        <v>0</v>
      </c>
      <c r="S7" s="14" t="n">
        <f aca="false">IFERROR(COUNTIF(S14,S15,S16,S17,S18,S19,S20,S21,S23,S24,S25,S26,S27,S28,S29,S30,S32,S33,S34,S35,S36,S37,S38,S39,S41,S42,S43,S44,S45,S46,S47,S48,S50,S51,S52,S53,S54,S55,S56,S57,TRUE())/8,0)</f>
        <v>0</v>
      </c>
      <c r="T7" s="14" t="n">
        <f aca="false">IFERROR(COUNTIF(T14,T15,T16,T17,T18,T19,T20,T21,T23,T24,T25,T26,T27,T28,T29,T30,T32,T33,T34,T35,T36,T37,T38,T39,T41,T42,T43,T44,T45,T46,T47,T48,T50,T51,T52,T53,T54,T55,T56,T57,TRUE())/8,0)</f>
        <v>0</v>
      </c>
      <c r="U7" s="14" t="n">
        <f aca="false">IFERROR(COUNTIF(U14,U15,U16,U17,U18,U19,U20,U21,U23,U24,U25,U26,U27,U28,U29,U30,U32,U33,U34,U35,U36,U37,U38,U39,U41,U42,U43,U44,U45,U46,U47,U48,U50,U51,U52,U53,U54,U55,U56,U57,TRUE())/8,0)</f>
        <v>0</v>
      </c>
      <c r="V7" s="14" t="n">
        <f aca="false">IFERROR(COUNTIF(V14,V15,V16,V17,V18,V19,V20,V21,V23,V24,V25,V26,V27,V28,V29,V30,V32,V33,V34,V35,V36,V37,V38,V39,V41,V42,V43,V44,V45,V46,V47,V48,V50,V51,V52,V53,V54,V55,V56,V57,TRUE())/8,0)</f>
        <v>0</v>
      </c>
      <c r="W7" s="14" t="n">
        <f aca="false">IFERROR(COUNTIF(W14,W15,W16,W17,W18,W19,W20,W21,W23,W24,W25,W26,W27,W28,W29,W30,W32,W33,W34,W35,W36,W37,W38,W39,W41,W42,W43,W44,W45,W46,W47,W48,W50,W51,W52,W53,W54,W55,W56,W57,TRUE())/8,0)</f>
        <v>0</v>
      </c>
      <c r="X7" s="14" t="n">
        <f aca="false">IFERROR(COUNTIF(X14,X15,X16,X17,X18,X19,X20,X21,X23,X24,X25,X26,X27,X28,X29,X30,X32,X33,X34,X35,X36,X37,X38,X39,X41,X42,X43,X44,X45,X46,X47,X48,X50,X51,X52,X53,X54,X55,X56,X57,TRUE())/8,0)</f>
        <v>0</v>
      </c>
      <c r="Y7" s="14" t="n">
        <f aca="false">IFERROR(COUNTIF(Y14,Y15,Y16,Y17,Y18,Y19,Y20,Y21,Y23,Y24,Y25,Y26,Y27,Y28,Y29,Y30,Y32,Y33,Y34,Y35,Y36,Y37,Y38,Y39,Y41,Y42,Y43,Y44,Y45,Y46,Y47,Y48,Y50,Y51,Y52,Y53,Y54,Y55,Y56,Y57,TRUE())/8,0)</f>
        <v>0</v>
      </c>
      <c r="Z7" s="14" t="n">
        <f aca="false">IFERROR(COUNTIF(Z14,Z15,Z16,Z17,Z18,Z19,Z20,Z21,Z23,Z24,Z25,Z26,Z27,Z28,Z29,Z30,Z32,Z33,Z34,Z35,Z36,Z37,Z38,Z39,Z41,Z42,Z43,Z44,Z45,Z46,Z47,Z48,Z50,Z51,Z52,Z53,Z54,Z55,Z56,Z57,TRUE())/8,0)</f>
        <v>0</v>
      </c>
      <c r="AA7" s="14" t="n">
        <f aca="false">IFERROR(COUNTIF(AA14,AA15,AA16,AA17,AA18,AA19,AA20,AA21,AA23,AA24,AA25,AA26,AA27,AA28,AA29,AA30,AA32,AA33,AA34,AA35,AA36,AA37,AA38,AA39,AA41,AA42,AA43,AA44,AA45,AA46,AA47,AA48,AA50,AA51,AA52,AA53,AA54,AA55,AA56,AA57,TRUE())/8,0)</f>
        <v>0</v>
      </c>
      <c r="AB7" s="14" t="n">
        <f aca="false">IFERROR(COUNTIF(AB14,AB15,AB16,AB17,AB18,AB19,AB20,AB21,AB23,AB24,AB25,AB26,AB27,AB28,AB29,AB30,AB32,AB33,AB34,AB35,AB36,AB37,AB38,AB39,AB41,AB42,AB43,AB44,AB45,AB46,AB47,AB48,AB50,AB51,AB52,AB53,AB54,AB55,AB56,AB57,TRUE())/8,0)</f>
        <v>0</v>
      </c>
      <c r="AC7" s="14" t="n">
        <f aca="false">IFERROR(COUNTIF(AC14,AC15,AC16,AC17,AC18,AC19,AC20,AC21,AC23,AC24,AC25,AC26,AC27,AC28,AC29,AC30,AC32,AC33,AC34,AC35,AC36,AC37,AC38,AC39,AC41,AC42,AC43,AC44,AC45,AC46,AC47,AC48,AC50,AC51,AC52,AC53,AC54,AC55,AC56,AC57,TRUE())/8,0)</f>
        <v>0</v>
      </c>
      <c r="AD7" s="14" t="n">
        <f aca="false">IFERROR(COUNTIF(AD14,AD15,AD16,AD17,AD18,AD19,AD20,AD21,AD23,AD24,AD25,AD26,AD27,AD28,AD29,AD30,AD32,AD33,AD34,AD35,AD36,AD37,AD38,AD39,AD41,AD42,AD43,AD44,AD45,AD46,AD47,AD48,AD50,AD51,AD52,AD53,AD54,AD55,AD56,AD57,TRUE())/8,0)</f>
        <v>0</v>
      </c>
      <c r="AE7" s="14" t="n">
        <f aca="false">IFERROR(COUNTIF(AE14,AE15,AE16,AE17,AE18,AE19,AE20,AE21,AE23,AE24,AE25,AE26,AE27,AE28,AE29,AE30,AE32,AE33,AE34,AE35,AE36,AE37,AE38,AE39,AE41,AE42,AE43,AE44,AE45,AE46,AE47,AE48,AE50,AE51,AE52,AE53,AE54,AE55,AE56,AE57,TRUE())/8,0)</f>
        <v>0</v>
      </c>
      <c r="AF7" s="14" t="n">
        <f aca="false">IFERROR(COUNTIF(AF14,AF15,AF16,AF17,AF18,AF19,AF20,AF21,AF23,AF24,AF25,AF26,AF27,AF28,AF29,AF30,AF32,AF33,AF34,AF35,AF36,AF37,AF38,AF39,AF41,AF42,AF43,AF44,AF45,AF46,AF47,AF48,AF50,AF51,AF52,AF53,AF54,AF55,AF56,AF57,TRUE())/8,0)</f>
        <v>0</v>
      </c>
      <c r="AG7" s="14" t="n">
        <f aca="false">IFERROR(COUNTIF(AG14,AG15,AG16,AG17,AG18,AG19,AG20,AG21,AG23,AG24,AG25,AG26,AG27,AG28,AG29,AG30,AG32,AG33,AG34,AG35,AG36,AG37,AG38,AG39,AG41,AG42,AG43,AG44,AG45,AG46,AG47,AG48,AG50,AG51,AG52,AG53,AG54,AG55,AG56,AG57,TRUE())/8,0)</f>
        <v>0</v>
      </c>
    </row>
    <row r="8" customFormat="false" ht="7.5" hidden="false" customHeight="true" outlineLevel="0" collapsed="false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</row>
    <row r="9" customFormat="false" ht="25.5" hidden="false" customHeight="true" outlineLevel="0" collapsed="false">
      <c r="B9" s="16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</row>
    <row r="10" customFormat="false" ht="15.75" hidden="false" customHeight="true" outlineLevel="0" collapsed="false">
      <c r="B10" s="17" t="s">
        <v>11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 customFormat="false" ht="3.75" hidden="false" customHeight="true" outlineLevel="0" collapsed="false"/>
    <row r="12" customFormat="false" ht="21.75" hidden="false" customHeight="true" outlineLevel="0" collapsed="false">
      <c r="B12" s="18" t="s">
        <v>12</v>
      </c>
      <c r="C12" s="19" t="n">
        <v>1</v>
      </c>
      <c r="D12" s="19" t="n">
        <v>2</v>
      </c>
      <c r="E12" s="19" t="n">
        <v>3</v>
      </c>
      <c r="F12" s="19" t="n">
        <v>4</v>
      </c>
      <c r="G12" s="19" t="n">
        <v>5</v>
      </c>
      <c r="H12" s="19" t="n">
        <v>6</v>
      </c>
      <c r="I12" s="19" t="n">
        <v>7</v>
      </c>
      <c r="J12" s="19" t="n">
        <v>8</v>
      </c>
      <c r="K12" s="19" t="n">
        <v>9</v>
      </c>
      <c r="L12" s="19" t="n">
        <v>10</v>
      </c>
      <c r="M12" s="19" t="n">
        <v>11</v>
      </c>
      <c r="N12" s="19" t="n">
        <v>12</v>
      </c>
      <c r="O12" s="19" t="n">
        <v>13</v>
      </c>
      <c r="P12" s="19" t="n">
        <v>14</v>
      </c>
      <c r="Q12" s="19" t="n">
        <v>15</v>
      </c>
      <c r="R12" s="19" t="n">
        <v>16</v>
      </c>
      <c r="S12" s="19" t="n">
        <v>17</v>
      </c>
      <c r="T12" s="19" t="n">
        <v>18</v>
      </c>
      <c r="U12" s="19" t="n">
        <v>19</v>
      </c>
      <c r="V12" s="19" t="n">
        <v>20</v>
      </c>
      <c r="W12" s="19" t="n">
        <v>21</v>
      </c>
      <c r="X12" s="19" t="n">
        <v>22</v>
      </c>
      <c r="Y12" s="19" t="n">
        <v>23</v>
      </c>
      <c r="Z12" s="19" t="n">
        <v>24</v>
      </c>
      <c r="AA12" s="19" t="n">
        <v>25</v>
      </c>
      <c r="AB12" s="19" t="n">
        <v>26</v>
      </c>
      <c r="AC12" s="19" t="n">
        <v>27</v>
      </c>
      <c r="AD12" s="19" t="n">
        <v>28</v>
      </c>
      <c r="AE12" s="19" t="n">
        <v>29</v>
      </c>
      <c r="AF12" s="19" t="n">
        <v>30</v>
      </c>
      <c r="AG12" s="19" t="n">
        <v>31</v>
      </c>
      <c r="AK12" s="20" t="s">
        <v>13</v>
      </c>
    </row>
    <row r="13" customFormat="false" ht="19.5" hidden="false" customHeight="true" outlineLevel="0" collapsed="false">
      <c r="B13" s="21" t="s">
        <v>14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</row>
    <row r="14" customFormat="false" ht="19.5" hidden="false" customHeight="true" outlineLevel="0" collapsed="false">
      <c r="B14" s="22" t="s">
        <v>15</v>
      </c>
      <c r="C14" s="23" t="b">
        <f aca="false">FALSE()</f>
        <v>0</v>
      </c>
      <c r="D14" s="23" t="b">
        <f aca="false">FALSE()</f>
        <v>0</v>
      </c>
      <c r="E14" s="23" t="b">
        <f aca="false">FALSE()</f>
        <v>0</v>
      </c>
      <c r="F14" s="23" t="b">
        <f aca="false">FALSE()</f>
        <v>0</v>
      </c>
      <c r="G14" s="23" t="b">
        <f aca="false">FALSE()</f>
        <v>0</v>
      </c>
      <c r="H14" s="23" t="b">
        <f aca="false">FALSE()</f>
        <v>0</v>
      </c>
      <c r="I14" s="23" t="b">
        <f aca="false">FALSE()</f>
        <v>0</v>
      </c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K14" s="25" t="n">
        <f aca="false">IFERROR(COUNTIF(C14:I14,TRUE())/(7-1+1),0)</f>
        <v>0</v>
      </c>
    </row>
    <row r="15" customFormat="false" ht="19.5" hidden="false" customHeight="true" outlineLevel="0" collapsed="false">
      <c r="B15" s="26" t="s">
        <v>16</v>
      </c>
      <c r="C15" s="27" t="b">
        <f aca="false">FALSE()</f>
        <v>0</v>
      </c>
      <c r="D15" s="27" t="b">
        <f aca="false">FALSE()</f>
        <v>0</v>
      </c>
      <c r="E15" s="27" t="b">
        <f aca="false">FALSE()</f>
        <v>0</v>
      </c>
      <c r="F15" s="27" t="b">
        <f aca="false">FALSE()</f>
        <v>0</v>
      </c>
      <c r="G15" s="27" t="b">
        <f aca="false">FALSE()</f>
        <v>0</v>
      </c>
      <c r="H15" s="27" t="b">
        <f aca="false">FALSE()</f>
        <v>0</v>
      </c>
      <c r="I15" s="27" t="b">
        <f aca="false">FALSE()</f>
        <v>0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K15" s="25" t="n">
        <f aca="false">IFERROR(COUNTIF(C15:I15,TRUE())/(7-1+1),0)</f>
        <v>0</v>
      </c>
    </row>
    <row r="16" customFormat="false" ht="19.5" hidden="false" customHeight="true" outlineLevel="0" collapsed="false">
      <c r="B16" s="22" t="s">
        <v>17</v>
      </c>
      <c r="C16" s="23" t="b">
        <f aca="false">FALSE()</f>
        <v>0</v>
      </c>
      <c r="D16" s="23" t="b">
        <f aca="false">FALSE()</f>
        <v>0</v>
      </c>
      <c r="E16" s="23" t="b">
        <f aca="false">FALSE()</f>
        <v>0</v>
      </c>
      <c r="F16" s="23" t="b">
        <f aca="false">FALSE()</f>
        <v>0</v>
      </c>
      <c r="G16" s="23" t="b">
        <f aca="false">FALSE()</f>
        <v>0</v>
      </c>
      <c r="H16" s="23" t="b">
        <f aca="false">FALSE()</f>
        <v>0</v>
      </c>
      <c r="I16" s="23" t="b">
        <f aca="false">FALSE()</f>
        <v>0</v>
      </c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K16" s="25" t="n">
        <f aca="false">IFERROR(COUNTIF(C16:I16,TRUE())/(7-1+1),0)</f>
        <v>0</v>
      </c>
    </row>
    <row r="17" customFormat="false" ht="19.5" hidden="false" customHeight="true" outlineLevel="0" collapsed="false">
      <c r="B17" s="26" t="s">
        <v>18</v>
      </c>
      <c r="C17" s="27" t="b">
        <f aca="false">FALSE()</f>
        <v>0</v>
      </c>
      <c r="D17" s="27" t="b">
        <f aca="false">FALSE()</f>
        <v>0</v>
      </c>
      <c r="E17" s="27" t="b">
        <f aca="false">FALSE()</f>
        <v>0</v>
      </c>
      <c r="F17" s="27" t="b">
        <f aca="false">FALSE()</f>
        <v>0</v>
      </c>
      <c r="G17" s="27" t="b">
        <f aca="false">FALSE()</f>
        <v>0</v>
      </c>
      <c r="H17" s="27" t="b">
        <f aca="false">FALSE()</f>
        <v>0</v>
      </c>
      <c r="I17" s="27" t="b">
        <f aca="false">FALSE()</f>
        <v>0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K17" s="25" t="n">
        <f aca="false">IFERROR(COUNTIF(C17:I17,TRUE())/(7-1+1),0)</f>
        <v>0</v>
      </c>
    </row>
    <row r="18" customFormat="false" ht="19.5" hidden="false" customHeight="true" outlineLevel="0" collapsed="false">
      <c r="B18" s="22" t="s">
        <v>19</v>
      </c>
      <c r="C18" s="23" t="b">
        <f aca="false">FALSE()</f>
        <v>0</v>
      </c>
      <c r="D18" s="23" t="b">
        <f aca="false">FALSE()</f>
        <v>0</v>
      </c>
      <c r="E18" s="23" t="b">
        <f aca="false">FALSE()</f>
        <v>0</v>
      </c>
      <c r="F18" s="23" t="b">
        <f aca="false">FALSE()</f>
        <v>0</v>
      </c>
      <c r="G18" s="23" t="b">
        <f aca="false">FALSE()</f>
        <v>0</v>
      </c>
      <c r="H18" s="23" t="b">
        <f aca="false">FALSE()</f>
        <v>0</v>
      </c>
      <c r="I18" s="23" t="b">
        <f aca="false">FALSE()</f>
        <v>0</v>
      </c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K18" s="25" t="n">
        <f aca="false">IFERROR(COUNTIF(C18:I18,TRUE())/(7-1+1),0)</f>
        <v>0</v>
      </c>
    </row>
    <row r="19" customFormat="false" ht="19.5" hidden="false" customHeight="true" outlineLevel="0" collapsed="false">
      <c r="B19" s="26" t="s">
        <v>20</v>
      </c>
      <c r="C19" s="27" t="b">
        <f aca="false">FALSE()</f>
        <v>0</v>
      </c>
      <c r="D19" s="27" t="b">
        <f aca="false">FALSE()</f>
        <v>0</v>
      </c>
      <c r="E19" s="27" t="b">
        <f aca="false">FALSE()</f>
        <v>0</v>
      </c>
      <c r="F19" s="27" t="b">
        <f aca="false">FALSE()</f>
        <v>0</v>
      </c>
      <c r="G19" s="27" t="b">
        <f aca="false">FALSE()</f>
        <v>0</v>
      </c>
      <c r="H19" s="27" t="b">
        <f aca="false">FALSE()</f>
        <v>0</v>
      </c>
      <c r="I19" s="27" t="b">
        <f aca="false">FALSE()</f>
        <v>0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K19" s="25" t="n">
        <f aca="false">IFERROR(COUNTIF(C19:I19,TRUE())/(7-1+1),0)</f>
        <v>0</v>
      </c>
    </row>
    <row r="20" customFormat="false" ht="19.5" hidden="false" customHeight="true" outlineLevel="0" collapsed="false">
      <c r="B20" s="22" t="s">
        <v>21</v>
      </c>
      <c r="C20" s="23" t="b">
        <f aca="false">FALSE()</f>
        <v>0</v>
      </c>
      <c r="D20" s="23" t="b">
        <f aca="false">FALSE()</f>
        <v>0</v>
      </c>
      <c r="E20" s="23" t="b">
        <f aca="false">FALSE()</f>
        <v>0</v>
      </c>
      <c r="F20" s="23" t="b">
        <f aca="false">FALSE()</f>
        <v>0</v>
      </c>
      <c r="G20" s="23" t="b">
        <f aca="false">FALSE()</f>
        <v>0</v>
      </c>
      <c r="H20" s="23" t="b">
        <f aca="false">FALSE()</f>
        <v>0</v>
      </c>
      <c r="I20" s="23" t="b">
        <f aca="false">FALSE()</f>
        <v>0</v>
      </c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K20" s="25" t="n">
        <f aca="false">IFERROR(COUNTIF(C20:I20,TRUE())/(7-1+1),0)</f>
        <v>0</v>
      </c>
    </row>
    <row r="21" customFormat="false" ht="19.5" hidden="false" customHeight="true" outlineLevel="0" collapsed="false">
      <c r="B21" s="26" t="s">
        <v>22</v>
      </c>
      <c r="C21" s="27" t="b">
        <f aca="false">FALSE()</f>
        <v>0</v>
      </c>
      <c r="D21" s="27" t="b">
        <f aca="false">FALSE()</f>
        <v>0</v>
      </c>
      <c r="E21" s="27" t="b">
        <f aca="false">FALSE()</f>
        <v>0</v>
      </c>
      <c r="F21" s="27" t="b">
        <f aca="false">FALSE()</f>
        <v>0</v>
      </c>
      <c r="G21" s="27" t="b">
        <f aca="false">FALSE()</f>
        <v>0</v>
      </c>
      <c r="H21" s="27" t="b">
        <f aca="false">FALSE()</f>
        <v>0</v>
      </c>
      <c r="I21" s="27" t="b">
        <f aca="false">FALSE()</f>
        <v>0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K21" s="25" t="n">
        <f aca="false">IFERROR(COUNTIF(C21:I21,TRUE())/(7-1+1),0)</f>
        <v>0</v>
      </c>
    </row>
    <row r="22" customFormat="false" ht="19.5" hidden="false" customHeight="true" outlineLevel="0" collapsed="false">
      <c r="B22" s="28" t="s">
        <v>23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</row>
    <row r="23" customFormat="false" ht="19.5" hidden="false" customHeight="true" outlineLevel="0" collapsed="false">
      <c r="B23" s="22" t="s">
        <v>15</v>
      </c>
      <c r="C23" s="24"/>
      <c r="D23" s="24"/>
      <c r="E23" s="24"/>
      <c r="F23" s="24"/>
      <c r="G23" s="24"/>
      <c r="H23" s="24"/>
      <c r="I23" s="24"/>
      <c r="J23" s="23" t="b">
        <f aca="false">FALSE()</f>
        <v>0</v>
      </c>
      <c r="K23" s="23" t="b">
        <f aca="false">FALSE()</f>
        <v>0</v>
      </c>
      <c r="L23" s="23" t="b">
        <f aca="false">FALSE()</f>
        <v>0</v>
      </c>
      <c r="M23" s="23" t="b">
        <f aca="false">FALSE()</f>
        <v>0</v>
      </c>
      <c r="N23" s="23" t="b">
        <f aca="false">FALSE()</f>
        <v>0</v>
      </c>
      <c r="O23" s="23" t="b">
        <f aca="false">FALSE()</f>
        <v>0</v>
      </c>
      <c r="P23" s="23" t="b">
        <f aca="false">FALSE()</f>
        <v>0</v>
      </c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K23" s="29" t="n">
        <f aca="false">IFERROR(COUNTIF(J23:P23,TRUE())/(14-8+1),0)</f>
        <v>0</v>
      </c>
    </row>
    <row r="24" customFormat="false" ht="19.5" hidden="false" customHeight="true" outlineLevel="0" collapsed="false">
      <c r="B24" s="26" t="s">
        <v>16</v>
      </c>
      <c r="C24" s="24"/>
      <c r="D24" s="24"/>
      <c r="E24" s="24"/>
      <c r="F24" s="24"/>
      <c r="G24" s="24"/>
      <c r="H24" s="24"/>
      <c r="I24" s="24"/>
      <c r="J24" s="27" t="b">
        <f aca="false">FALSE()</f>
        <v>0</v>
      </c>
      <c r="K24" s="27" t="b">
        <f aca="false">FALSE()</f>
        <v>0</v>
      </c>
      <c r="L24" s="27" t="b">
        <f aca="false">FALSE()</f>
        <v>0</v>
      </c>
      <c r="M24" s="27" t="b">
        <f aca="false">FALSE()</f>
        <v>0</v>
      </c>
      <c r="N24" s="27" t="b">
        <f aca="false">FALSE()</f>
        <v>0</v>
      </c>
      <c r="O24" s="27" t="b">
        <f aca="false">FALSE()</f>
        <v>0</v>
      </c>
      <c r="P24" s="27" t="b">
        <f aca="false">FALSE()</f>
        <v>0</v>
      </c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K24" s="29" t="n">
        <f aca="false">IFERROR(COUNTIF(J24:P24,TRUE())/(14-8+1),0)</f>
        <v>0</v>
      </c>
    </row>
    <row r="25" customFormat="false" ht="19.5" hidden="false" customHeight="true" outlineLevel="0" collapsed="false">
      <c r="B25" s="22" t="s">
        <v>17</v>
      </c>
      <c r="C25" s="24"/>
      <c r="D25" s="24"/>
      <c r="E25" s="24"/>
      <c r="F25" s="24"/>
      <c r="G25" s="24"/>
      <c r="H25" s="24"/>
      <c r="I25" s="24"/>
      <c r="J25" s="23" t="b">
        <f aca="false">FALSE()</f>
        <v>0</v>
      </c>
      <c r="K25" s="23" t="b">
        <f aca="false">FALSE()</f>
        <v>0</v>
      </c>
      <c r="L25" s="23" t="b">
        <f aca="false">FALSE()</f>
        <v>0</v>
      </c>
      <c r="M25" s="23" t="b">
        <f aca="false">FALSE()</f>
        <v>0</v>
      </c>
      <c r="N25" s="23" t="b">
        <f aca="false">FALSE()</f>
        <v>0</v>
      </c>
      <c r="O25" s="23" t="b">
        <f aca="false">FALSE()</f>
        <v>0</v>
      </c>
      <c r="P25" s="23" t="b">
        <f aca="false">FALSE()</f>
        <v>0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K25" s="29" t="n">
        <f aca="false">IFERROR(COUNTIF(J25:P25,TRUE())/(14-8+1),0)</f>
        <v>0</v>
      </c>
    </row>
    <row r="26" customFormat="false" ht="19.5" hidden="false" customHeight="true" outlineLevel="0" collapsed="false">
      <c r="B26" s="26" t="s">
        <v>18</v>
      </c>
      <c r="C26" s="24"/>
      <c r="D26" s="24"/>
      <c r="E26" s="24"/>
      <c r="F26" s="24"/>
      <c r="G26" s="24"/>
      <c r="H26" s="24"/>
      <c r="I26" s="24"/>
      <c r="J26" s="27" t="b">
        <f aca="false">FALSE()</f>
        <v>0</v>
      </c>
      <c r="K26" s="27" t="b">
        <f aca="false">FALSE()</f>
        <v>0</v>
      </c>
      <c r="L26" s="27" t="b">
        <f aca="false">FALSE()</f>
        <v>0</v>
      </c>
      <c r="M26" s="27" t="b">
        <f aca="false">FALSE()</f>
        <v>0</v>
      </c>
      <c r="N26" s="27" t="b">
        <f aca="false">FALSE()</f>
        <v>0</v>
      </c>
      <c r="O26" s="27" t="b">
        <f aca="false">FALSE()</f>
        <v>0</v>
      </c>
      <c r="P26" s="27" t="b">
        <f aca="false">FALSE()</f>
        <v>0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K26" s="29" t="n">
        <f aca="false">IFERROR(COUNTIF(J26:P26,TRUE())/(14-8+1),0)</f>
        <v>0</v>
      </c>
    </row>
    <row r="27" customFormat="false" ht="19.5" hidden="false" customHeight="true" outlineLevel="0" collapsed="false">
      <c r="B27" s="22" t="s">
        <v>19</v>
      </c>
      <c r="C27" s="24"/>
      <c r="D27" s="24"/>
      <c r="E27" s="24"/>
      <c r="F27" s="24"/>
      <c r="G27" s="24"/>
      <c r="H27" s="24"/>
      <c r="I27" s="24"/>
      <c r="J27" s="23" t="b">
        <f aca="false">FALSE()</f>
        <v>0</v>
      </c>
      <c r="K27" s="23" t="b">
        <f aca="false">FALSE()</f>
        <v>0</v>
      </c>
      <c r="L27" s="23" t="b">
        <f aca="false">FALSE()</f>
        <v>0</v>
      </c>
      <c r="M27" s="23" t="b">
        <f aca="false">FALSE()</f>
        <v>0</v>
      </c>
      <c r="N27" s="23" t="b">
        <f aca="false">FALSE()</f>
        <v>0</v>
      </c>
      <c r="O27" s="23" t="b">
        <f aca="false">FALSE()</f>
        <v>0</v>
      </c>
      <c r="P27" s="23" t="b">
        <f aca="false">FALSE()</f>
        <v>0</v>
      </c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K27" s="29" t="n">
        <f aca="false">IFERROR(COUNTIF(J27:P27,TRUE())/(14-8+1),0)</f>
        <v>0</v>
      </c>
    </row>
    <row r="28" customFormat="false" ht="19.5" hidden="false" customHeight="true" outlineLevel="0" collapsed="false">
      <c r="B28" s="26" t="s">
        <v>20</v>
      </c>
      <c r="C28" s="24"/>
      <c r="D28" s="24"/>
      <c r="E28" s="24"/>
      <c r="F28" s="24"/>
      <c r="G28" s="24"/>
      <c r="H28" s="24"/>
      <c r="I28" s="24"/>
      <c r="J28" s="27" t="b">
        <f aca="false">FALSE()</f>
        <v>0</v>
      </c>
      <c r="K28" s="27" t="b">
        <f aca="false">FALSE()</f>
        <v>0</v>
      </c>
      <c r="L28" s="27" t="b">
        <f aca="false">FALSE()</f>
        <v>0</v>
      </c>
      <c r="M28" s="27" t="b">
        <f aca="false">FALSE()</f>
        <v>0</v>
      </c>
      <c r="N28" s="27" t="b">
        <f aca="false">FALSE()</f>
        <v>0</v>
      </c>
      <c r="O28" s="27" t="b">
        <f aca="false">FALSE()</f>
        <v>0</v>
      </c>
      <c r="P28" s="27" t="b">
        <f aca="false">FALSE()</f>
        <v>0</v>
      </c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K28" s="29" t="n">
        <f aca="false">IFERROR(COUNTIF(J28:P28,TRUE())/(14-8+1),0)</f>
        <v>0</v>
      </c>
    </row>
    <row r="29" customFormat="false" ht="19.5" hidden="false" customHeight="true" outlineLevel="0" collapsed="false">
      <c r="B29" s="22" t="s">
        <v>21</v>
      </c>
      <c r="C29" s="24"/>
      <c r="D29" s="24"/>
      <c r="E29" s="24"/>
      <c r="F29" s="24"/>
      <c r="G29" s="24"/>
      <c r="H29" s="24"/>
      <c r="I29" s="24"/>
      <c r="J29" s="23" t="b">
        <f aca="false">FALSE()</f>
        <v>0</v>
      </c>
      <c r="K29" s="23" t="b">
        <f aca="false">FALSE()</f>
        <v>0</v>
      </c>
      <c r="L29" s="23" t="b">
        <f aca="false">FALSE()</f>
        <v>0</v>
      </c>
      <c r="M29" s="23" t="b">
        <f aca="false">FALSE()</f>
        <v>0</v>
      </c>
      <c r="N29" s="23" t="b">
        <f aca="false">FALSE()</f>
        <v>0</v>
      </c>
      <c r="O29" s="23" t="b">
        <f aca="false">FALSE()</f>
        <v>0</v>
      </c>
      <c r="P29" s="23" t="b">
        <f aca="false">FALSE()</f>
        <v>0</v>
      </c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K29" s="29" t="n">
        <f aca="false">IFERROR(COUNTIF(J29:P29,TRUE())/(14-8+1),0)</f>
        <v>0</v>
      </c>
    </row>
    <row r="30" customFormat="false" ht="19.5" hidden="false" customHeight="true" outlineLevel="0" collapsed="false">
      <c r="B30" s="26" t="s">
        <v>22</v>
      </c>
      <c r="C30" s="24"/>
      <c r="D30" s="24"/>
      <c r="E30" s="24"/>
      <c r="F30" s="24"/>
      <c r="G30" s="24"/>
      <c r="H30" s="24"/>
      <c r="I30" s="24"/>
      <c r="J30" s="27" t="b">
        <f aca="false">FALSE()</f>
        <v>0</v>
      </c>
      <c r="K30" s="27" t="b">
        <f aca="false">FALSE()</f>
        <v>0</v>
      </c>
      <c r="L30" s="27" t="b">
        <f aca="false">FALSE()</f>
        <v>0</v>
      </c>
      <c r="M30" s="27" t="b">
        <f aca="false">FALSE()</f>
        <v>0</v>
      </c>
      <c r="N30" s="27" t="b">
        <f aca="false">FALSE()</f>
        <v>0</v>
      </c>
      <c r="O30" s="27" t="b">
        <f aca="false">FALSE()</f>
        <v>0</v>
      </c>
      <c r="P30" s="27" t="b">
        <f aca="false">FALSE()</f>
        <v>0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K30" s="29" t="n">
        <f aca="false">IFERROR(COUNTIF(J30:P30,TRUE())/(14-8+1),0)</f>
        <v>0</v>
      </c>
    </row>
    <row r="31" customFormat="false" ht="19.5" hidden="false" customHeight="true" outlineLevel="0" collapsed="false">
      <c r="B31" s="30" t="s">
        <v>24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</row>
    <row r="32" customFormat="false" ht="19.5" hidden="false" customHeight="true" outlineLevel="0" collapsed="false">
      <c r="B32" s="22" t="s">
        <v>15</v>
      </c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3" t="b">
        <f aca="false">FALSE()</f>
        <v>0</v>
      </c>
      <c r="R32" s="23" t="b">
        <f aca="false">FALSE()</f>
        <v>0</v>
      </c>
      <c r="S32" s="23" t="b">
        <f aca="false">FALSE()</f>
        <v>0</v>
      </c>
      <c r="T32" s="23" t="b">
        <f aca="false">FALSE()</f>
        <v>0</v>
      </c>
      <c r="U32" s="23" t="b">
        <f aca="false">FALSE()</f>
        <v>0</v>
      </c>
      <c r="V32" s="23" t="b">
        <f aca="false">FALSE()</f>
        <v>0</v>
      </c>
      <c r="W32" s="23" t="b">
        <f aca="false">FALSE()</f>
        <v>0</v>
      </c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K32" s="31" t="n">
        <f aca="false">IFERROR(COUNTIF(Q32:W32,TRUE())/(21-15+1),0)</f>
        <v>0</v>
      </c>
    </row>
    <row r="33" customFormat="false" ht="19.5" hidden="false" customHeight="true" outlineLevel="0" collapsed="false">
      <c r="B33" s="26" t="s">
        <v>16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7" t="b">
        <f aca="false">FALSE()</f>
        <v>0</v>
      </c>
      <c r="R33" s="27" t="b">
        <f aca="false">FALSE()</f>
        <v>0</v>
      </c>
      <c r="S33" s="27" t="b">
        <f aca="false">FALSE()</f>
        <v>0</v>
      </c>
      <c r="T33" s="27" t="b">
        <f aca="false">FALSE()</f>
        <v>0</v>
      </c>
      <c r="U33" s="27" t="b">
        <f aca="false">FALSE()</f>
        <v>0</v>
      </c>
      <c r="V33" s="27" t="b">
        <f aca="false">FALSE()</f>
        <v>0</v>
      </c>
      <c r="W33" s="27" t="b">
        <f aca="false">FALSE()</f>
        <v>0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K33" s="31" t="n">
        <f aca="false">IFERROR(COUNTIF(Q33:W33,TRUE())/(21-15+1),0)</f>
        <v>0</v>
      </c>
    </row>
    <row r="34" customFormat="false" ht="19.5" hidden="false" customHeight="true" outlineLevel="0" collapsed="false">
      <c r="B34" s="22" t="s">
        <v>17</v>
      </c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3" t="b">
        <f aca="false">FALSE()</f>
        <v>0</v>
      </c>
      <c r="R34" s="23" t="b">
        <f aca="false">FALSE()</f>
        <v>0</v>
      </c>
      <c r="S34" s="23" t="b">
        <f aca="false">FALSE()</f>
        <v>0</v>
      </c>
      <c r="T34" s="23" t="b">
        <f aca="false">FALSE()</f>
        <v>0</v>
      </c>
      <c r="U34" s="23" t="b">
        <f aca="false">FALSE()</f>
        <v>0</v>
      </c>
      <c r="V34" s="23" t="b">
        <f aca="false">FALSE()</f>
        <v>0</v>
      </c>
      <c r="W34" s="23" t="b">
        <f aca="false">FALSE()</f>
        <v>0</v>
      </c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K34" s="31" t="n">
        <f aca="false">IFERROR(COUNTIF(Q34:W34,TRUE())/(21-15+1),0)</f>
        <v>0</v>
      </c>
    </row>
    <row r="35" customFormat="false" ht="19.5" hidden="false" customHeight="true" outlineLevel="0" collapsed="false">
      <c r="B35" s="26" t="s">
        <v>18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7" t="b">
        <f aca="false">FALSE()</f>
        <v>0</v>
      </c>
      <c r="R35" s="27" t="b">
        <f aca="false">FALSE()</f>
        <v>0</v>
      </c>
      <c r="S35" s="27" t="b">
        <f aca="false">FALSE()</f>
        <v>0</v>
      </c>
      <c r="T35" s="27" t="b">
        <f aca="false">FALSE()</f>
        <v>0</v>
      </c>
      <c r="U35" s="27" t="b">
        <f aca="false">FALSE()</f>
        <v>0</v>
      </c>
      <c r="V35" s="27" t="b">
        <f aca="false">FALSE()</f>
        <v>0</v>
      </c>
      <c r="W35" s="27" t="b">
        <f aca="false">FALSE()</f>
        <v>0</v>
      </c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K35" s="31" t="n">
        <f aca="false">IFERROR(COUNTIF(Q35:W35,TRUE())/(21-15+1),0)</f>
        <v>0</v>
      </c>
    </row>
    <row r="36" customFormat="false" ht="19.5" hidden="false" customHeight="true" outlineLevel="0" collapsed="false">
      <c r="B36" s="22" t="s">
        <v>19</v>
      </c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3" t="b">
        <f aca="false">FALSE()</f>
        <v>0</v>
      </c>
      <c r="R36" s="23" t="b">
        <f aca="false">FALSE()</f>
        <v>0</v>
      </c>
      <c r="S36" s="23" t="b">
        <f aca="false">FALSE()</f>
        <v>0</v>
      </c>
      <c r="T36" s="23" t="b">
        <f aca="false">FALSE()</f>
        <v>0</v>
      </c>
      <c r="U36" s="23" t="b">
        <f aca="false">FALSE()</f>
        <v>0</v>
      </c>
      <c r="V36" s="23" t="b">
        <f aca="false">FALSE()</f>
        <v>0</v>
      </c>
      <c r="W36" s="23" t="b">
        <f aca="false">FALSE()</f>
        <v>0</v>
      </c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K36" s="31" t="n">
        <f aca="false">IFERROR(COUNTIF(Q36:W36,TRUE())/(21-15+1),0)</f>
        <v>0</v>
      </c>
    </row>
    <row r="37" customFormat="false" ht="19.5" hidden="false" customHeight="true" outlineLevel="0" collapsed="false">
      <c r="B37" s="26" t="s">
        <v>20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7" t="b">
        <f aca="false">FALSE()</f>
        <v>0</v>
      </c>
      <c r="R37" s="27" t="b">
        <f aca="false">FALSE()</f>
        <v>0</v>
      </c>
      <c r="S37" s="27" t="b">
        <f aca="false">FALSE()</f>
        <v>0</v>
      </c>
      <c r="T37" s="27" t="b">
        <f aca="false">FALSE()</f>
        <v>0</v>
      </c>
      <c r="U37" s="27" t="b">
        <f aca="false">FALSE()</f>
        <v>0</v>
      </c>
      <c r="V37" s="27" t="b">
        <f aca="false">FALSE()</f>
        <v>0</v>
      </c>
      <c r="W37" s="27" t="b">
        <f aca="false">FALSE()</f>
        <v>0</v>
      </c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K37" s="31" t="n">
        <f aca="false">IFERROR(COUNTIF(Q37:W37,TRUE())/(21-15+1),0)</f>
        <v>0</v>
      </c>
    </row>
    <row r="38" customFormat="false" ht="19.5" hidden="false" customHeight="true" outlineLevel="0" collapsed="false">
      <c r="B38" s="22" t="s">
        <v>21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3" t="b">
        <f aca="false">FALSE()</f>
        <v>0</v>
      </c>
      <c r="R38" s="23" t="b">
        <f aca="false">FALSE()</f>
        <v>0</v>
      </c>
      <c r="S38" s="23" t="b">
        <f aca="false">FALSE()</f>
        <v>0</v>
      </c>
      <c r="T38" s="23" t="b">
        <f aca="false">FALSE()</f>
        <v>0</v>
      </c>
      <c r="U38" s="23" t="b">
        <f aca="false">FALSE()</f>
        <v>0</v>
      </c>
      <c r="V38" s="23" t="b">
        <f aca="false">FALSE()</f>
        <v>0</v>
      </c>
      <c r="W38" s="23" t="b">
        <f aca="false">FALSE()</f>
        <v>0</v>
      </c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K38" s="31" t="n">
        <f aca="false">IFERROR(COUNTIF(Q38:W38,TRUE())/(21-15+1),0)</f>
        <v>0</v>
      </c>
    </row>
    <row r="39" customFormat="false" ht="19.5" hidden="false" customHeight="true" outlineLevel="0" collapsed="false">
      <c r="B39" s="26" t="s">
        <v>22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7" t="b">
        <f aca="false">FALSE()</f>
        <v>0</v>
      </c>
      <c r="R39" s="27" t="b">
        <f aca="false">FALSE()</f>
        <v>0</v>
      </c>
      <c r="S39" s="27" t="b">
        <f aca="false">FALSE()</f>
        <v>0</v>
      </c>
      <c r="T39" s="27" t="b">
        <f aca="false">FALSE()</f>
        <v>0</v>
      </c>
      <c r="U39" s="27" t="b">
        <f aca="false">FALSE()</f>
        <v>0</v>
      </c>
      <c r="V39" s="27" t="b">
        <f aca="false">FALSE()</f>
        <v>0</v>
      </c>
      <c r="W39" s="27" t="b">
        <f aca="false">FALSE()</f>
        <v>0</v>
      </c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K39" s="31" t="n">
        <f aca="false">IFERROR(COUNTIF(Q39:W39,TRUE())/(21-15+1),0)</f>
        <v>0</v>
      </c>
    </row>
    <row r="40" customFormat="false" ht="19.5" hidden="false" customHeight="true" outlineLevel="0" collapsed="false">
      <c r="B40" s="32" t="s">
        <v>25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</row>
    <row r="41" customFormat="false" ht="19.5" hidden="false" customHeight="true" outlineLevel="0" collapsed="false">
      <c r="B41" s="22" t="s">
        <v>15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3" t="b">
        <f aca="false">FALSE()</f>
        <v>0</v>
      </c>
      <c r="Y41" s="23" t="b">
        <f aca="false">FALSE()</f>
        <v>0</v>
      </c>
      <c r="Z41" s="23" t="b">
        <f aca="false">FALSE()</f>
        <v>0</v>
      </c>
      <c r="AA41" s="23" t="b">
        <f aca="false">FALSE()</f>
        <v>0</v>
      </c>
      <c r="AB41" s="23" t="b">
        <f aca="false">FALSE()</f>
        <v>0</v>
      </c>
      <c r="AC41" s="23" t="b">
        <f aca="false">FALSE()</f>
        <v>0</v>
      </c>
      <c r="AD41" s="23" t="b">
        <f aca="false">FALSE()</f>
        <v>0</v>
      </c>
      <c r="AE41" s="24"/>
      <c r="AF41" s="24"/>
      <c r="AG41" s="24"/>
      <c r="AK41" s="33" t="n">
        <f aca="false">IFERROR(COUNTIF(X41:AD41,TRUE())/(28-22+1),0)</f>
        <v>0</v>
      </c>
    </row>
    <row r="42" customFormat="false" ht="19.5" hidden="false" customHeight="true" outlineLevel="0" collapsed="false">
      <c r="B42" s="26" t="s">
        <v>16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7" t="b">
        <f aca="false">FALSE()</f>
        <v>0</v>
      </c>
      <c r="Y42" s="27" t="b">
        <f aca="false">FALSE()</f>
        <v>0</v>
      </c>
      <c r="Z42" s="27" t="b">
        <f aca="false">FALSE()</f>
        <v>0</v>
      </c>
      <c r="AA42" s="27" t="b">
        <f aca="false">FALSE()</f>
        <v>0</v>
      </c>
      <c r="AB42" s="27" t="b">
        <f aca="false">FALSE()</f>
        <v>0</v>
      </c>
      <c r="AC42" s="27" t="b">
        <f aca="false">FALSE()</f>
        <v>0</v>
      </c>
      <c r="AD42" s="27" t="b">
        <f aca="false">FALSE()</f>
        <v>0</v>
      </c>
      <c r="AE42" s="24"/>
      <c r="AF42" s="24"/>
      <c r="AG42" s="24"/>
      <c r="AK42" s="33" t="n">
        <f aca="false">IFERROR(COUNTIF(X42:AD42,TRUE())/(28-22+1),0)</f>
        <v>0</v>
      </c>
    </row>
    <row r="43" customFormat="false" ht="19.5" hidden="false" customHeight="true" outlineLevel="0" collapsed="false">
      <c r="B43" s="22" t="s">
        <v>17</v>
      </c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3" t="b">
        <f aca="false">FALSE()</f>
        <v>0</v>
      </c>
      <c r="Y43" s="23" t="b">
        <f aca="false">FALSE()</f>
        <v>0</v>
      </c>
      <c r="Z43" s="23" t="b">
        <f aca="false">FALSE()</f>
        <v>0</v>
      </c>
      <c r="AA43" s="23" t="b">
        <f aca="false">FALSE()</f>
        <v>0</v>
      </c>
      <c r="AB43" s="23" t="b">
        <f aca="false">FALSE()</f>
        <v>0</v>
      </c>
      <c r="AC43" s="23" t="b">
        <f aca="false">FALSE()</f>
        <v>0</v>
      </c>
      <c r="AD43" s="23" t="b">
        <f aca="false">FALSE()</f>
        <v>0</v>
      </c>
      <c r="AE43" s="24"/>
      <c r="AF43" s="24"/>
      <c r="AG43" s="24"/>
      <c r="AK43" s="33" t="n">
        <f aca="false">IFERROR(COUNTIF(X43:AD43,TRUE())/(28-22+1),0)</f>
        <v>0</v>
      </c>
    </row>
    <row r="44" customFormat="false" ht="19.5" hidden="false" customHeight="true" outlineLevel="0" collapsed="false">
      <c r="B44" s="26" t="s">
        <v>18</v>
      </c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7" t="b">
        <f aca="false">FALSE()</f>
        <v>0</v>
      </c>
      <c r="Y44" s="27" t="b">
        <f aca="false">FALSE()</f>
        <v>0</v>
      </c>
      <c r="Z44" s="27" t="b">
        <f aca="false">FALSE()</f>
        <v>0</v>
      </c>
      <c r="AA44" s="27" t="b">
        <f aca="false">FALSE()</f>
        <v>0</v>
      </c>
      <c r="AB44" s="27" t="b">
        <f aca="false">FALSE()</f>
        <v>0</v>
      </c>
      <c r="AC44" s="27" t="b">
        <f aca="false">FALSE()</f>
        <v>0</v>
      </c>
      <c r="AD44" s="27" t="b">
        <f aca="false">FALSE()</f>
        <v>0</v>
      </c>
      <c r="AE44" s="24"/>
      <c r="AF44" s="24"/>
      <c r="AG44" s="24"/>
      <c r="AK44" s="33" t="n">
        <f aca="false">IFERROR(COUNTIF(X44:AD44,TRUE())/(28-22+1),0)</f>
        <v>0</v>
      </c>
    </row>
    <row r="45" customFormat="false" ht="19.5" hidden="false" customHeight="true" outlineLevel="0" collapsed="false">
      <c r="B45" s="22" t="s">
        <v>19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3" t="b">
        <f aca="false">FALSE()</f>
        <v>0</v>
      </c>
      <c r="Y45" s="23" t="b">
        <f aca="false">FALSE()</f>
        <v>0</v>
      </c>
      <c r="Z45" s="23" t="b">
        <f aca="false">FALSE()</f>
        <v>0</v>
      </c>
      <c r="AA45" s="23" t="b">
        <f aca="false">FALSE()</f>
        <v>0</v>
      </c>
      <c r="AB45" s="23" t="b">
        <f aca="false">FALSE()</f>
        <v>0</v>
      </c>
      <c r="AC45" s="23" t="b">
        <f aca="false">FALSE()</f>
        <v>0</v>
      </c>
      <c r="AD45" s="23" t="b">
        <f aca="false">FALSE()</f>
        <v>0</v>
      </c>
      <c r="AE45" s="24"/>
      <c r="AF45" s="24"/>
      <c r="AG45" s="24"/>
      <c r="AK45" s="33" t="n">
        <f aca="false">IFERROR(COUNTIF(X45:AD45,TRUE())/(28-22+1),0)</f>
        <v>0</v>
      </c>
    </row>
    <row r="46" customFormat="false" ht="19.5" hidden="false" customHeight="true" outlineLevel="0" collapsed="false">
      <c r="B46" s="26" t="s">
        <v>20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7" t="b">
        <f aca="false">FALSE()</f>
        <v>0</v>
      </c>
      <c r="Y46" s="27" t="b">
        <f aca="false">FALSE()</f>
        <v>0</v>
      </c>
      <c r="Z46" s="27" t="b">
        <f aca="false">FALSE()</f>
        <v>0</v>
      </c>
      <c r="AA46" s="27" t="b">
        <f aca="false">FALSE()</f>
        <v>0</v>
      </c>
      <c r="AB46" s="27" t="b">
        <f aca="false">FALSE()</f>
        <v>0</v>
      </c>
      <c r="AC46" s="27" t="b">
        <f aca="false">FALSE()</f>
        <v>0</v>
      </c>
      <c r="AD46" s="27" t="b">
        <f aca="false">FALSE()</f>
        <v>0</v>
      </c>
      <c r="AE46" s="24"/>
      <c r="AF46" s="24"/>
      <c r="AG46" s="24"/>
      <c r="AK46" s="33" t="n">
        <f aca="false">IFERROR(COUNTIF(X46:AD46,TRUE())/(28-22+1),0)</f>
        <v>0</v>
      </c>
    </row>
    <row r="47" customFormat="false" ht="19.5" hidden="false" customHeight="true" outlineLevel="0" collapsed="false">
      <c r="B47" s="22" t="s">
        <v>21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3" t="b">
        <f aca="false">FALSE()</f>
        <v>0</v>
      </c>
      <c r="Y47" s="23" t="b">
        <f aca="false">FALSE()</f>
        <v>0</v>
      </c>
      <c r="Z47" s="23" t="b">
        <f aca="false">FALSE()</f>
        <v>0</v>
      </c>
      <c r="AA47" s="23" t="b">
        <f aca="false">FALSE()</f>
        <v>0</v>
      </c>
      <c r="AB47" s="23" t="b">
        <f aca="false">FALSE()</f>
        <v>0</v>
      </c>
      <c r="AC47" s="23" t="b">
        <f aca="false">FALSE()</f>
        <v>0</v>
      </c>
      <c r="AD47" s="23" t="b">
        <f aca="false">FALSE()</f>
        <v>0</v>
      </c>
      <c r="AE47" s="24"/>
      <c r="AF47" s="24"/>
      <c r="AG47" s="24"/>
      <c r="AK47" s="33" t="n">
        <f aca="false">IFERROR(COUNTIF(X47:AD47,TRUE())/(28-22+1),0)</f>
        <v>0</v>
      </c>
    </row>
    <row r="48" customFormat="false" ht="19.5" hidden="false" customHeight="true" outlineLevel="0" collapsed="false">
      <c r="B48" s="26" t="s">
        <v>22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7" t="b">
        <f aca="false">FALSE()</f>
        <v>0</v>
      </c>
      <c r="Y48" s="27" t="b">
        <f aca="false">FALSE()</f>
        <v>0</v>
      </c>
      <c r="Z48" s="27" t="b">
        <f aca="false">FALSE()</f>
        <v>0</v>
      </c>
      <c r="AA48" s="27" t="b">
        <f aca="false">FALSE()</f>
        <v>0</v>
      </c>
      <c r="AB48" s="27" t="b">
        <f aca="false">FALSE()</f>
        <v>0</v>
      </c>
      <c r="AC48" s="27" t="b">
        <f aca="false">FALSE()</f>
        <v>0</v>
      </c>
      <c r="AD48" s="27" t="b">
        <f aca="false">FALSE()</f>
        <v>0</v>
      </c>
      <c r="AE48" s="24"/>
      <c r="AF48" s="24"/>
      <c r="AG48" s="24"/>
      <c r="AK48" s="33" t="n">
        <f aca="false">IFERROR(COUNTIF(X48:AD48,TRUE())/(28-22+1),0)</f>
        <v>0</v>
      </c>
    </row>
    <row r="49" customFormat="false" ht="19.5" hidden="false" customHeight="true" outlineLevel="0" collapsed="false">
      <c r="B49" s="34" t="s">
        <v>26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</row>
    <row r="50" customFormat="false" ht="19.5" hidden="false" customHeight="true" outlineLevel="0" collapsed="false">
      <c r="B50" s="22" t="s">
        <v>15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3" t="b">
        <f aca="false">FALSE()</f>
        <v>0</v>
      </c>
      <c r="AF50" s="23" t="b">
        <f aca="false">FALSE()</f>
        <v>0</v>
      </c>
      <c r="AG50" s="23" t="b">
        <f aca="false">FALSE()</f>
        <v>0</v>
      </c>
      <c r="AK50" s="35" t="n">
        <f aca="false">IFERROR(COUNTIF(AE50:AG50,TRUE())/(31-29+1),0)</f>
        <v>0</v>
      </c>
    </row>
    <row r="51" customFormat="false" ht="19.5" hidden="false" customHeight="true" outlineLevel="0" collapsed="false">
      <c r="B51" s="26" t="s">
        <v>16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7" t="b">
        <f aca="false">FALSE()</f>
        <v>0</v>
      </c>
      <c r="AF51" s="27" t="b">
        <f aca="false">FALSE()</f>
        <v>0</v>
      </c>
      <c r="AG51" s="27" t="b">
        <f aca="false">FALSE()</f>
        <v>0</v>
      </c>
      <c r="AK51" s="35" t="n">
        <f aca="false">IFERROR(COUNTIF(AE51:AG51,TRUE())/(31-29+1),0)</f>
        <v>0</v>
      </c>
    </row>
    <row r="52" customFormat="false" ht="19.5" hidden="false" customHeight="true" outlineLevel="0" collapsed="false">
      <c r="B52" s="22" t="s">
        <v>17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3" t="b">
        <f aca="false">FALSE()</f>
        <v>0</v>
      </c>
      <c r="AF52" s="23" t="b">
        <f aca="false">FALSE()</f>
        <v>0</v>
      </c>
      <c r="AG52" s="23" t="b">
        <f aca="false">FALSE()</f>
        <v>0</v>
      </c>
      <c r="AK52" s="35" t="n">
        <f aca="false">IFERROR(COUNTIF(AE52:AG52,TRUE())/(31-29+1),0)</f>
        <v>0</v>
      </c>
    </row>
    <row r="53" customFormat="false" ht="19.5" hidden="false" customHeight="true" outlineLevel="0" collapsed="false">
      <c r="B53" s="26" t="s">
        <v>18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7" t="b">
        <f aca="false">FALSE()</f>
        <v>0</v>
      </c>
      <c r="AF53" s="27" t="b">
        <f aca="false">FALSE()</f>
        <v>0</v>
      </c>
      <c r="AG53" s="27" t="b">
        <f aca="false">FALSE()</f>
        <v>0</v>
      </c>
      <c r="AK53" s="35" t="n">
        <f aca="false">IFERROR(COUNTIF(AE53:AG53,TRUE())/(31-29+1),0)</f>
        <v>0</v>
      </c>
    </row>
    <row r="54" customFormat="false" ht="19.5" hidden="false" customHeight="true" outlineLevel="0" collapsed="false">
      <c r="B54" s="22" t="s">
        <v>19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3" t="b">
        <f aca="false">FALSE()</f>
        <v>0</v>
      </c>
      <c r="AF54" s="23" t="b">
        <f aca="false">FALSE()</f>
        <v>0</v>
      </c>
      <c r="AG54" s="23" t="b">
        <f aca="false">FALSE()</f>
        <v>0</v>
      </c>
      <c r="AK54" s="35" t="n">
        <f aca="false">IFERROR(COUNTIF(AE54:AG54,TRUE())/(31-29+1),0)</f>
        <v>0</v>
      </c>
    </row>
    <row r="55" customFormat="false" ht="19.5" hidden="false" customHeight="true" outlineLevel="0" collapsed="false">
      <c r="B55" s="26" t="s">
        <v>20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7" t="b">
        <f aca="false">FALSE()</f>
        <v>0</v>
      </c>
      <c r="AF55" s="27" t="b">
        <f aca="false">FALSE()</f>
        <v>0</v>
      </c>
      <c r="AG55" s="27" t="b">
        <f aca="false">FALSE()</f>
        <v>0</v>
      </c>
      <c r="AK55" s="35" t="n">
        <f aca="false">IFERROR(COUNTIF(AE55:AG55,TRUE())/(31-29+1),0)</f>
        <v>0</v>
      </c>
    </row>
    <row r="56" customFormat="false" ht="19.5" hidden="false" customHeight="true" outlineLevel="0" collapsed="false">
      <c r="B56" s="22" t="s">
        <v>21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3" t="b">
        <f aca="false">FALSE()</f>
        <v>0</v>
      </c>
      <c r="AF56" s="23" t="b">
        <f aca="false">FALSE()</f>
        <v>0</v>
      </c>
      <c r="AG56" s="23" t="b">
        <f aca="false">FALSE()</f>
        <v>0</v>
      </c>
      <c r="AK56" s="35" t="n">
        <f aca="false">IFERROR(COUNTIF(AE56:AG56,TRUE())/(31-29+1),0)</f>
        <v>0</v>
      </c>
    </row>
    <row r="57" customFormat="false" ht="19.5" hidden="false" customHeight="true" outlineLevel="0" collapsed="false">
      <c r="B57" s="26" t="s">
        <v>22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7" t="b">
        <f aca="false">FALSE()</f>
        <v>0</v>
      </c>
      <c r="AF57" s="27" t="b">
        <f aca="false">FALSE()</f>
        <v>0</v>
      </c>
      <c r="AG57" s="27" t="b">
        <f aca="false">FALSE()</f>
        <v>0</v>
      </c>
      <c r="AK57" s="35" t="n">
        <f aca="false">IFERROR(COUNTIF(AE57:AG57,TRUE())/(31-29+1),0)</f>
        <v>0</v>
      </c>
    </row>
    <row r="58" customFormat="false" ht="7.5" hidden="false" customHeight="true" outlineLevel="0" collapsed="false"/>
    <row r="59" customFormat="false" ht="24" hidden="false" customHeight="true" outlineLevel="0" collapsed="false">
      <c r="B59" s="36" t="s">
        <v>27</v>
      </c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</row>
    <row r="60" customFormat="false" ht="24" hidden="false" customHeight="true" outlineLevel="0" collapsed="false">
      <c r="B60" s="37" t="s">
        <v>28</v>
      </c>
      <c r="C60" s="38" t="s">
        <v>29</v>
      </c>
      <c r="D60" s="38" t="s">
        <v>29</v>
      </c>
      <c r="E60" s="38" t="s">
        <v>29</v>
      </c>
      <c r="F60" s="38" t="s">
        <v>29</v>
      </c>
      <c r="G60" s="38" t="s">
        <v>29</v>
      </c>
      <c r="H60" s="38" t="s">
        <v>29</v>
      </c>
      <c r="I60" s="38" t="s">
        <v>29</v>
      </c>
      <c r="J60" s="38" t="s">
        <v>29</v>
      </c>
      <c r="K60" s="38" t="s">
        <v>29</v>
      </c>
      <c r="L60" s="38" t="s">
        <v>29</v>
      </c>
      <c r="M60" s="38" t="s">
        <v>29</v>
      </c>
      <c r="N60" s="38" t="s">
        <v>29</v>
      </c>
      <c r="O60" s="38" t="s">
        <v>29</v>
      </c>
      <c r="P60" s="38" t="s">
        <v>29</v>
      </c>
      <c r="Q60" s="38" t="s">
        <v>29</v>
      </c>
      <c r="R60" s="38" t="s">
        <v>29</v>
      </c>
      <c r="S60" s="38" t="s">
        <v>29</v>
      </c>
      <c r="T60" s="38" t="s">
        <v>29</v>
      </c>
      <c r="U60" s="38" t="s">
        <v>29</v>
      </c>
      <c r="V60" s="38" t="s">
        <v>29</v>
      </c>
      <c r="W60" s="38" t="s">
        <v>29</v>
      </c>
      <c r="X60" s="38" t="s">
        <v>29</v>
      </c>
      <c r="Y60" s="38" t="s">
        <v>29</v>
      </c>
      <c r="Z60" s="38" t="s">
        <v>29</v>
      </c>
      <c r="AA60" s="38" t="s">
        <v>29</v>
      </c>
      <c r="AB60" s="38" t="s">
        <v>29</v>
      </c>
      <c r="AC60" s="38" t="s">
        <v>29</v>
      </c>
      <c r="AD60" s="38" t="s">
        <v>29</v>
      </c>
      <c r="AE60" s="38" t="s">
        <v>29</v>
      </c>
      <c r="AF60" s="38" t="s">
        <v>29</v>
      </c>
      <c r="AG60" s="38" t="s">
        <v>29</v>
      </c>
      <c r="AK60" s="39" t="s">
        <v>30</v>
      </c>
    </row>
    <row r="61" customFormat="false" ht="18" hidden="false" customHeight="true" outlineLevel="0" collapsed="false">
      <c r="C61" s="40" t="s">
        <v>31</v>
      </c>
      <c r="D61" s="40"/>
      <c r="E61" s="40"/>
      <c r="F61" s="40"/>
      <c r="G61" s="40"/>
      <c r="H61" s="40"/>
      <c r="I61" s="41" t="s">
        <v>29</v>
      </c>
      <c r="J61" s="41"/>
      <c r="K61" s="41"/>
      <c r="L61" s="41"/>
      <c r="M61" s="41"/>
      <c r="N61" s="41"/>
      <c r="O61" s="42" t="s">
        <v>32</v>
      </c>
      <c r="P61" s="42"/>
      <c r="Q61" s="42"/>
      <c r="R61" s="42"/>
      <c r="S61" s="42"/>
      <c r="T61" s="42"/>
      <c r="U61" s="43" t="s">
        <v>33</v>
      </c>
      <c r="V61" s="43"/>
      <c r="W61" s="43"/>
      <c r="X61" s="43"/>
      <c r="Y61" s="43"/>
      <c r="Z61" s="43"/>
      <c r="AA61" s="44" t="s">
        <v>34</v>
      </c>
      <c r="AB61" s="44"/>
      <c r="AC61" s="44"/>
      <c r="AD61" s="44"/>
      <c r="AE61" s="44"/>
      <c r="AF61" s="44"/>
    </row>
    <row r="62" customFormat="false" ht="6" hidden="false" customHeight="true" outlineLevel="0" collapsed="false"/>
    <row r="63" customFormat="false" ht="24" hidden="false" customHeight="true" outlineLevel="0" collapsed="false">
      <c r="B63" s="45" t="s">
        <v>35</v>
      </c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</row>
    <row r="64" customFormat="false" ht="30" hidden="false" customHeight="true" outlineLevel="0" collapsed="false">
      <c r="B64" s="6" t="s">
        <v>36</v>
      </c>
      <c r="C64" s="6"/>
      <c r="D64" s="6"/>
      <c r="E64" s="6"/>
      <c r="F64" s="6"/>
      <c r="G64" s="6"/>
      <c r="H64" s="6"/>
      <c r="I64" s="6"/>
      <c r="J64" s="6"/>
      <c r="K64" s="46" t="s">
        <v>37</v>
      </c>
      <c r="L64" s="46"/>
      <c r="M64" s="46"/>
      <c r="N64" s="46"/>
      <c r="O64" s="46"/>
      <c r="P64" s="46"/>
      <c r="Q64" s="46"/>
      <c r="R64" s="46"/>
      <c r="S64" s="46"/>
      <c r="T64" s="8" t="s">
        <v>38</v>
      </c>
      <c r="U64" s="8"/>
      <c r="V64" s="8"/>
      <c r="W64" s="8"/>
      <c r="X64" s="8"/>
      <c r="Y64" s="8"/>
      <c r="Z64" s="8"/>
      <c r="AA64" s="8"/>
      <c r="AB64" s="8"/>
    </row>
    <row r="65" customFormat="false" ht="37.5" hidden="false" customHeight="true" outlineLevel="0" collapsed="false">
      <c r="B65" s="47" t="n">
        <f aca="false">K5</f>
        <v>0</v>
      </c>
      <c r="C65" s="47"/>
      <c r="D65" s="47"/>
      <c r="E65" s="47"/>
      <c r="F65" s="47"/>
      <c r="G65" s="47"/>
      <c r="H65" s="47"/>
      <c r="I65" s="47"/>
      <c r="J65" s="47"/>
      <c r="K65" s="48" t="str">
        <f aca="false">IF(MAX(COUNTIF(C14:I14,TRUE())+COUNTIF(C15:I15,TRUE())+COUNTIF(C16:I16,TRUE())+COUNTIF(C17:I17,TRUE())+COUNTIF(C18:I18,TRUE())+COUNTIF(C19:I19,TRUE())+COUNTIF(C20:I20,TRUE())+COUNTIF(C21:I21,TRUE()),COUNTIF(J23:P23,TRUE())+COUNTIF(J24:P24,TRUE())+COUNTIF(J25:P25,TRUE())+COUNTIF(J26:P26,TRUE())+COUNTIF(J27:P27,TRUE())+COUNTIF(J28:P28,TRUE())+COUNTIF(J29:P29,TRUE())+COUNTIF(J30:P30,TRUE()),COUNTIF(Q32:W32,TRUE())+COUNTIF(Q33:W33,TRUE())+COUNTIF(Q34:W34,TRUE())+COUNTIF(Q35:W35,TRUE())+COUNTIF(Q36:W36,TRUE())+COUNTIF(Q37:W37,TRUE())+COUNTIF(Q38:W38,TRUE())+COUNTIF(Q39:W39,TRUE()),COUNTIF(X41:AD41,TRUE())+COUNTIF(X42:AD42,TRUE())+COUNTIF(X43:AD43,TRUE())+COUNTIF(X44:AD44,TRUE())+COUNTIF(X45:AD45,TRUE())+COUNTIF(X46:AD46,TRUE())+COUNTIF(X47:AD47,TRUE())+COUNTIF(X48:AD48,TRUE()),COUNTIF(AE50:AG50,TRUE())+COUNTIF(AE51:AG51,TRUE())+COUNTIF(AE52:AG52,TRUE())+COUNTIF(AE53:AG53,TRUE())+COUNTIF(AE54:AG54,TRUE())+COUNTIF(AE55:AG55,TRUE())+COUNTIF(AE56:AG56,TRUE())+COUNTIF(AE57:AG57,TRUE()))=(COUNTIF(C14:I14,TRUE())+COUNTIF(C15:I15,TRUE())+COUNTIF(C16:I16,TRUE())+COUNTIF(C17:I17,TRUE())+COUNTIF(C18:I18,TRUE())+COUNTIF(C19:I19,TRUE())+COUNTIF(C20:I20,TRUE())+COUNTIF(C21:I21,TRUE())),"Week 1",IF(MAX(COUNTIF(C14:I14,TRUE())+COUNTIF(C15:I15,TRUE())+COUNTIF(C16:I16,TRUE())+COUNTIF(C17:I17,TRUE())+COUNTIF(C18:I18,TRUE())+COUNTIF(C19:I19,TRUE())+COUNTIF(C20:I20,TRUE())+COUNTIF(C21:I21,TRUE()),COUNTIF(J23:P23,TRUE())+COUNTIF(J24:P24,TRUE())+COUNTIF(J25:P25,TRUE())+COUNTIF(J26:P26,TRUE())+COUNTIF(J27:P27,TRUE())+COUNTIF(J28:P28,TRUE())+COUNTIF(J29:P29,TRUE())+COUNTIF(J30:P30,TRUE()),COUNTIF(Q32:W32,TRUE())+COUNTIF(Q33:W33,TRUE())+COUNTIF(Q34:W34,TRUE())+COUNTIF(Q35:W35,TRUE())+COUNTIF(Q36:W36,TRUE())+COUNTIF(Q37:W37,TRUE())+COUNTIF(Q38:W38,TRUE())+COUNTIF(Q39:W39,TRUE()),COUNTIF(X41:AD41,TRUE())+COUNTIF(X42:AD42,TRUE())+COUNTIF(X43:AD43,TRUE())+COUNTIF(X44:AD44,TRUE())+COUNTIF(X45:AD45,TRUE())+COUNTIF(X46:AD46,TRUE())+COUNTIF(X47:AD47,TRUE())+COUNTIF(X48:AD48,TRUE()),COUNTIF(AE50:AG50,TRUE())+COUNTIF(AE51:AG51,TRUE())+COUNTIF(AE52:AG52,TRUE())+COUNTIF(AE53:AG53,TRUE())+COUNTIF(AE54:AG54,TRUE())+COUNTIF(AE55:AG55,TRUE())+COUNTIF(AE56:AG56,TRUE())+COUNTIF(AE57:AG57,TRUE()))=(COUNTIF(J23:P23,TRUE())+COUNTIF(J24:P24,TRUE())+COUNTIF(J25:P25,TRUE())+COUNTIF(J26:P26,TRUE())+COUNTIF(J27:P27,TRUE())+COUNTIF(J28:P28,TRUE())+COUNTIF(J29:P29,TRUE())+COUNTIF(J30:P30,TRUE())),"Week 2",IF(MAX(COUNTIF(C14:I14,TRUE())+COUNTIF(C15:I15,TRUE())+COUNTIF(C16:I16,TRUE())+COUNTIF(C17:I17,TRUE())+COUNTIF(C18:I18,TRUE())+COUNTIF(C19:I19,TRUE())+COUNTIF(C20:I20,TRUE())+COUNTIF(C21:I21,TRUE()),COUNTIF(J23:P23,TRUE())+COUNTIF(J24:P24,TRUE())+COUNTIF(J25:P25,TRUE())+COUNTIF(J26:P26,TRUE())+COUNTIF(J27:P27,TRUE())+COUNTIF(J28:P28,TRUE())+COUNTIF(J29:P29,TRUE())+COUNTIF(J30:P30,TRUE()),COUNTIF(Q32:W32,TRUE())+COUNTIF(Q33:W33,TRUE())+COUNTIF(Q34:W34,TRUE())+COUNTIF(Q35:W35,TRUE())+COUNTIF(Q36:W36,TRUE())+COUNTIF(Q37:W37,TRUE())+COUNTIF(Q38:W38,TRUE())+COUNTIF(Q39:W39,TRUE()),COUNTIF(X41:AD41,TRUE())+COUNTIF(X42:AD42,TRUE())+COUNTIF(X43:AD43,TRUE())+COUNTIF(X44:AD44,TRUE())+COUNTIF(X45:AD45,TRUE())+COUNTIF(X46:AD46,TRUE())+COUNTIF(X47:AD47,TRUE())+COUNTIF(X48:AD48,TRUE()),COUNTIF(AE50:AG50,TRUE())+COUNTIF(AE51:AG51,TRUE())+COUNTIF(AE52:AG52,TRUE())+COUNTIF(AE53:AG53,TRUE())+COUNTIF(AE54:AG54,TRUE())+COUNTIF(AE55:AG55,TRUE())+COUNTIF(AE56:AG56,TRUE())+COUNTIF(AE57:AG57,TRUE()))=(COUNTIF(Q32:W32,TRUE())+COUNTIF(Q33:W33,TRUE())+COUNTIF(Q34:W34,TRUE())+COUNTIF(Q35:W35,TRUE())+COUNTIF(Q36:W36,TRUE())+COUNTIF(Q37:W37,TRUE())+COUNTIF(Q38:W38,TRUE())+COUNTIF(Q39:W39,TRUE())),"Week 3",IF(MAX(COUNTIF(C14:I14,TRUE())+COUNTIF(C15:I15,TRUE())+COUNTIF(C16:I16,TRUE())+COUNTIF(C17:I17,TRUE())+COUNTIF(C18:I18,TRUE())+COUNTIF(C19:I19,TRUE())+COUNTIF(C20:I20,TRUE())+COUNTIF(C21:I21,TRUE()),COUNTIF(J23:P23,TRUE())+COUNTIF(J24:P24,TRUE())+COUNTIF(J25:P25,TRUE())+COUNTIF(J26:P26,TRUE())+COUNTIF(J27:P27,TRUE())+COUNTIF(J28:P28,TRUE())+COUNTIF(J29:P29,TRUE())+COUNTIF(J30:P30,TRUE()),COUNTIF(Q32:W32,TRUE())+COUNTIF(Q33:W33,TRUE())+COUNTIF(Q34:W34,TRUE())+COUNTIF(Q35:W35,TRUE())+COUNTIF(Q36:W36,TRUE())+COUNTIF(Q37:W37,TRUE())+COUNTIF(Q38:W38,TRUE())+COUNTIF(Q39:W39,TRUE()),COUNTIF(X41:AD41,TRUE())+COUNTIF(X42:AD42,TRUE())+COUNTIF(X43:AD43,TRUE())+COUNTIF(X44:AD44,TRUE())+COUNTIF(X45:AD45,TRUE())+COUNTIF(X46:AD46,TRUE())+COUNTIF(X47:AD47,TRUE())+COUNTIF(X48:AD48,TRUE()),COUNTIF(AE50:AG50,TRUE())+COUNTIF(AE51:AG51,TRUE())+COUNTIF(AE52:AG52,TRUE())+COUNTIF(AE53:AG53,TRUE())+COUNTIF(AE54:AG54,TRUE())+COUNTIF(AE55:AG55,TRUE())+COUNTIF(AE56:AG56,TRUE())+COUNTIF(AE57:AG57,TRUE()))=(COUNTIF(X41:AD41,TRUE())+COUNTIF(X42:AD42,TRUE())+COUNTIF(X43:AD43,TRUE())+COUNTIF(X44:AD44,TRUE())+COUNTIF(X45:AD45,TRUE())+COUNTIF(X46:AD46,TRUE())+COUNTIF(X47:AD47,TRUE())+COUNTIF(X48:AD48,TRUE())),"Week 4","Week 5"))))</f>
        <v>Week 1</v>
      </c>
      <c r="L65" s="48"/>
      <c r="M65" s="48"/>
      <c r="N65" s="48"/>
      <c r="O65" s="48"/>
      <c r="P65" s="48"/>
      <c r="Q65" s="48"/>
      <c r="R65" s="48"/>
      <c r="S65" s="48"/>
      <c r="T65" s="49" t="str">
        <f aca="false">U5</f>
        <v>0.0%</v>
      </c>
      <c r="U65" s="49"/>
      <c r="V65" s="49"/>
      <c r="W65" s="49"/>
      <c r="X65" s="49"/>
      <c r="Y65" s="49"/>
      <c r="Z65" s="49"/>
      <c r="AA65" s="49"/>
      <c r="AB65" s="49"/>
    </row>
    <row r="67" customFormat="false" ht="18" hidden="false" customHeight="true" outlineLevel="0" collapsed="false">
      <c r="B67" s="50" t="s">
        <v>39</v>
      </c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</row>
  </sheetData>
  <mergeCells count="33">
    <mergeCell ref="B2:AK2"/>
    <mergeCell ref="B3:D3"/>
    <mergeCell ref="F3:G3"/>
    <mergeCell ref="I3:T3"/>
    <mergeCell ref="B4:J4"/>
    <mergeCell ref="K4:O4"/>
    <mergeCell ref="P4:T4"/>
    <mergeCell ref="U4:Z4"/>
    <mergeCell ref="K5:O5"/>
    <mergeCell ref="P5:T5"/>
    <mergeCell ref="U5:Z5"/>
    <mergeCell ref="B6:AK6"/>
    <mergeCell ref="B9:AK9"/>
    <mergeCell ref="B10:AK10"/>
    <mergeCell ref="B13:AK13"/>
    <mergeCell ref="B22:AK22"/>
    <mergeCell ref="B31:AK31"/>
    <mergeCell ref="B40:AK40"/>
    <mergeCell ref="B49:AK49"/>
    <mergeCell ref="B59:AK59"/>
    <mergeCell ref="C61:H61"/>
    <mergeCell ref="I61:N61"/>
    <mergeCell ref="O61:T61"/>
    <mergeCell ref="U61:Z61"/>
    <mergeCell ref="AA61:AF61"/>
    <mergeCell ref="B63:AK63"/>
    <mergeCell ref="B64:J64"/>
    <mergeCell ref="K64:S64"/>
    <mergeCell ref="T64:AB64"/>
    <mergeCell ref="B65:J65"/>
    <mergeCell ref="K65:S65"/>
    <mergeCell ref="T65:AB65"/>
    <mergeCell ref="B67:AK67"/>
  </mergeCells>
  <conditionalFormatting sqref="C14:AG57">
    <cfRule type="expression" priority="2" aboveAverage="0" equalAverage="0" bottom="0" percent="0" rank="0" text="" dxfId="0">
      <formula>C14=1</formula>
    </cfRule>
    <cfRule type="expression" priority="3" aboveAverage="0" equalAverage="0" bottom="0" percent="0" rank="0" text="" dxfId="1">
      <formula>C14=0</formula>
    </cfRule>
  </conditionalFormatting>
  <dataValidations count="2">
    <dataValidation allowBlank="false" errorStyle="stop" operator="between" showDropDown="false" showErrorMessage="false" showInputMessage="false" sqref="E3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60:AG60" type="list">
      <formula1>"😀 Excellent,😊 Good,😐 Neutral,😔 Bad,😫 Very Bad"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2026-06-22T04:43:57Z</dcterms:created>
  <dc:creator>openpyxl</dc:creator>
  <dc:description/>
  <dc:language>en-US</dc:language>
  <cp:lastModifiedBy/>
  <dcterms:modified xsi:type="dcterms:W3CDTF">2026-06-22T04:44:03Z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